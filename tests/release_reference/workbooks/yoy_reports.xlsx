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26" sheetId="1" state="visible" r:id="rId1"/>
    <sheet xmlns:r="http://schemas.openxmlformats.org/officeDocument/2006/relationships" name="02-26" sheetId="2" state="visible" r:id="rId2"/>
    <sheet xmlns:r="http://schemas.openxmlformats.org/officeDocument/2006/relationships" name="03-26" sheetId="3" state="visible" r:id="rId3"/>
    <sheet xmlns:r="http://schemas.openxmlformats.org/officeDocument/2006/relationships" name="04-26" sheetId="4" state="visible" r:id="rId4"/>
    <sheet xmlns:r="http://schemas.openxmlformats.org/officeDocument/2006/relationships" name="05-26" sheetId="5" state="visible" r:id="rId5"/>
    <sheet xmlns:r="http://schemas.openxmlformats.org/officeDocument/2006/relationships" name="06-26" sheetId="6" state="visible" r:id="rId6"/>
    <sheet xmlns:r="http://schemas.openxmlformats.org/officeDocument/2006/relationships" name="07-26" sheetId="7" state="visible" r:id="rId7"/>
    <sheet xmlns:r="http://schemas.openxmlformats.org/officeDocument/2006/relationships" name="08-26" sheetId="8" state="visible" r:id="rId8"/>
    <sheet xmlns:r="http://schemas.openxmlformats.org/officeDocument/2006/relationships" name="Full Re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January 02, 2026 to January 31,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16</v>
      </c>
      <c r="C3" s="3" t="n">
        <v>25</v>
      </c>
      <c r="D3" s="3" t="n">
        <v>26</v>
      </c>
      <c r="E3" s="3" t="n">
        <v>4</v>
      </c>
      <c r="F3" s="4">
        <f>B3+C3+D3+E3</f>
        <v/>
      </c>
    </row>
    <row r="4">
      <c r="A4" s="2" t="inlineStr">
        <is>
          <t>Bermudas</t>
        </is>
      </c>
      <c r="B4" s="3" t="n">
        <v>29</v>
      </c>
      <c r="C4" s="3" t="n">
        <v>65</v>
      </c>
      <c r="D4" s="3" t="n">
        <v>135</v>
      </c>
      <c r="E4" s="3" t="n">
        <v>11</v>
      </c>
      <c r="F4" s="4">
        <f>B4+C4+D4+E4</f>
        <v/>
      </c>
    </row>
    <row r="5">
      <c r="A5" s="2" t="inlineStr">
        <is>
          <t>Boxer</t>
        </is>
      </c>
      <c r="B5" s="3" t="n">
        <v>7</v>
      </c>
      <c r="C5" s="3" t="n">
        <v>28</v>
      </c>
      <c r="D5" s="3" t="n">
        <v>82</v>
      </c>
      <c r="E5" s="3" t="n">
        <v>1</v>
      </c>
      <c r="F5" s="4">
        <f>B5+C5+D5+E5</f>
        <v/>
      </c>
    </row>
    <row r="6">
      <c r="A6" s="2" t="inlineStr">
        <is>
          <t>Buzo C Capucha Rustico</t>
        </is>
      </c>
      <c r="B6" s="3" t="n"/>
      <c r="C6" s="3" t="n"/>
      <c r="D6" s="3" t="n">
        <v>2</v>
      </c>
      <c r="E6" s="3" t="n"/>
      <c r="F6" s="4">
        <f>B6+C6+D6+E6</f>
        <v/>
      </c>
    </row>
    <row r="7">
      <c r="A7" s="2" t="inlineStr">
        <is>
          <t>Buzo Cuello Redondo</t>
        </is>
      </c>
      <c r="B7" s="3" t="n"/>
      <c r="C7" s="3" t="n">
        <v>6</v>
      </c>
      <c r="D7" s="3" t="n">
        <v>7</v>
      </c>
      <c r="E7" s="3" t="n"/>
      <c r="F7" s="4">
        <f>B7+C7+D7+E7</f>
        <v/>
      </c>
    </row>
    <row r="8">
      <c r="A8" s="2" t="inlineStr">
        <is>
          <t>Buzos C Capucha</t>
        </is>
      </c>
      <c r="B8" s="3" t="n"/>
      <c r="C8" s="3" t="n">
        <v>5</v>
      </c>
      <c r="D8" s="3" t="n">
        <v>1</v>
      </c>
      <c r="E8" s="3" t="n"/>
      <c r="F8" s="4">
        <f>B8+C8+D8+E8</f>
        <v/>
      </c>
    </row>
    <row r="9">
      <c r="A9" s="2" t="inlineStr">
        <is>
          <t>Buzos Medio Cierre</t>
        </is>
      </c>
      <c r="B9" s="3" t="n"/>
      <c r="C9" s="3" t="n">
        <v>2</v>
      </c>
      <c r="D9" s="3" t="n"/>
      <c r="E9" s="3" t="n"/>
      <c r="F9" s="4">
        <f>B9+C9+D9+E9</f>
        <v/>
      </c>
    </row>
    <row r="10">
      <c r="A10" s="2" t="inlineStr">
        <is>
          <t>Calzado</t>
        </is>
      </c>
      <c r="B10" s="3" t="n">
        <v>8</v>
      </c>
      <c r="C10" s="3" t="n">
        <v>11</v>
      </c>
      <c r="D10" s="3" t="n">
        <v>8</v>
      </c>
      <c r="E10" s="3" t="n"/>
      <c r="F10" s="4">
        <f>B10+C10+D10+E10</f>
        <v/>
      </c>
    </row>
    <row r="11">
      <c r="A11" s="2" t="inlineStr">
        <is>
          <t>Camisas</t>
        </is>
      </c>
      <c r="B11" s="3" t="n">
        <v>14</v>
      </c>
      <c r="C11" s="3" t="n">
        <v>8</v>
      </c>
      <c r="D11" s="3" t="n">
        <v>37</v>
      </c>
      <c r="E11" s="3" t="n"/>
      <c r="F11" s="4">
        <f>B11+C11+D11+E11</f>
        <v/>
      </c>
    </row>
    <row r="12">
      <c r="A12" s="2" t="inlineStr">
        <is>
          <t>Camisetas Manga Larga</t>
        </is>
      </c>
      <c r="B12" s="3" t="n"/>
      <c r="C12" s="3" t="n">
        <v>2</v>
      </c>
      <c r="D12" s="3" t="n"/>
      <c r="E12" s="3" t="n"/>
      <c r="F12" s="4">
        <f>B12+C12+D12+E12</f>
        <v/>
      </c>
    </row>
    <row r="13">
      <c r="A13" s="2" t="inlineStr">
        <is>
          <t>Campera Capucha Rustico</t>
        </is>
      </c>
      <c r="B13" s="3" t="n"/>
      <c r="C13" s="3" t="n"/>
      <c r="D13" s="3" t="n">
        <v>2</v>
      </c>
      <c r="E13" s="3" t="n"/>
      <c r="F13" s="4">
        <f>B13+C13+D13+E13</f>
        <v/>
      </c>
    </row>
    <row r="14">
      <c r="A14" s="2" t="inlineStr">
        <is>
          <t>Campera S Capucha</t>
        </is>
      </c>
      <c r="B14" s="3" t="n"/>
      <c r="C14" s="3" t="n">
        <v>-1</v>
      </c>
      <c r="D14" s="3" t="n"/>
      <c r="E14" s="3" t="n"/>
      <c r="F14" s="4">
        <f>B14+C14+D14+E14</f>
        <v/>
      </c>
    </row>
    <row r="15">
      <c r="A15" s="2" t="inlineStr">
        <is>
          <t>Camperas Capucha</t>
        </is>
      </c>
      <c r="B15" s="3" t="n"/>
      <c r="C15" s="3" t="n">
        <v>2</v>
      </c>
      <c r="D15" s="3" t="n">
        <v>1</v>
      </c>
      <c r="E15" s="3" t="n"/>
      <c r="F15" s="4">
        <f>B15+C15+D15+E15</f>
        <v/>
      </c>
    </row>
    <row r="16">
      <c r="A16" s="2" t="inlineStr">
        <is>
          <t>Camperas De Abrigo</t>
        </is>
      </c>
      <c r="B16" s="3" t="n"/>
      <c r="C16" s="3" t="n">
        <v>1</v>
      </c>
      <c r="D16" s="3" t="n"/>
      <c r="E16" s="3" t="n"/>
      <c r="F16" s="4">
        <f>B16+C16+D16+E16</f>
        <v/>
      </c>
    </row>
    <row r="17">
      <c r="A17" s="2" t="inlineStr">
        <is>
          <t>Chombas</t>
        </is>
      </c>
      <c r="B17" s="3" t="n">
        <v>35</v>
      </c>
      <c r="C17" s="3" t="n">
        <v>53</v>
      </c>
      <c r="D17" s="3" t="n">
        <v>96</v>
      </c>
      <c r="E17" s="3" t="n"/>
      <c r="F17" s="4">
        <f>B17+C17+D17+E17</f>
        <v/>
      </c>
    </row>
    <row r="18">
      <c r="A18" s="2" t="inlineStr">
        <is>
          <t>Jeans</t>
        </is>
      </c>
      <c r="B18" s="3" t="n">
        <v>14</v>
      </c>
      <c r="C18" s="3" t="n">
        <v>26</v>
      </c>
      <c r="D18" s="3" t="n">
        <v>70</v>
      </c>
      <c r="E18" s="3" t="n">
        <v>2</v>
      </c>
      <c r="F18" s="4">
        <f>B18+C18+D18+E18</f>
        <v/>
      </c>
    </row>
    <row r="19">
      <c r="A19" s="2" t="inlineStr">
        <is>
          <t>Jogging</t>
        </is>
      </c>
      <c r="B19" s="3" t="n">
        <v>1</v>
      </c>
      <c r="C19" s="3" t="n">
        <v>-1</v>
      </c>
      <c r="D19" s="3" t="n">
        <v>1</v>
      </c>
      <c r="E19" s="3" t="n"/>
      <c r="F19" s="4">
        <f>B19+C19+D19+E19</f>
        <v/>
      </c>
    </row>
    <row r="20">
      <c r="A20" s="2" t="inlineStr">
        <is>
          <t>Jogging Corto</t>
        </is>
      </c>
      <c r="B20" s="3" t="n">
        <v>1</v>
      </c>
      <c r="C20" s="3" t="n">
        <v>4</v>
      </c>
      <c r="D20" s="3" t="n">
        <v>10</v>
      </c>
      <c r="E20" s="3" t="n">
        <v>4</v>
      </c>
      <c r="F20" s="4">
        <f>B20+C20+D20+E20</f>
        <v/>
      </c>
    </row>
    <row r="21">
      <c r="A21" s="2" t="inlineStr">
        <is>
          <t>Musculosas</t>
        </is>
      </c>
      <c r="B21" s="3" t="n">
        <v>24</v>
      </c>
      <c r="C21" s="3" t="n">
        <v>24</v>
      </c>
      <c r="D21" s="3" t="n">
        <v>19</v>
      </c>
      <c r="E21" s="3" t="n">
        <v>2</v>
      </c>
      <c r="F21" s="4">
        <f>B21+C21+D21+E21</f>
        <v/>
      </c>
    </row>
    <row r="22">
      <c r="A22" s="2" t="inlineStr">
        <is>
          <t>Otro</t>
        </is>
      </c>
      <c r="B22" s="3" t="n"/>
      <c r="C22" s="3" t="n">
        <v>2</v>
      </c>
      <c r="D22" s="3" t="n"/>
      <c r="E22" s="3" t="n"/>
      <c r="F22" s="4">
        <f>B22+C22+D22+E22</f>
        <v/>
      </c>
    </row>
    <row r="23">
      <c r="A23" s="2" t="inlineStr">
        <is>
          <t>Remeras</t>
        </is>
      </c>
      <c r="B23" s="3" t="n">
        <v>221</v>
      </c>
      <c r="C23" s="3" t="n">
        <v>251</v>
      </c>
      <c r="D23" s="3" t="n">
        <v>706</v>
      </c>
      <c r="E23" s="3" t="n">
        <v>40</v>
      </c>
      <c r="F23" s="4">
        <f>B23+C23+D23+E23</f>
        <v/>
      </c>
    </row>
    <row r="24">
      <c r="A24" s="2" t="inlineStr">
        <is>
          <t>Sweaters</t>
        </is>
      </c>
      <c r="B24" s="3" t="n"/>
      <c r="C24" s="3" t="n">
        <v>3</v>
      </c>
      <c r="D24" s="3" t="n">
        <v>2</v>
      </c>
      <c r="E24" s="3" t="n"/>
      <c r="F24" s="4">
        <f>B24+C24+D24+E24</f>
        <v/>
      </c>
    </row>
    <row r="25">
      <c r="A25" s="2" t="inlineStr">
        <is>
          <t>Trajes De Baño</t>
        </is>
      </c>
      <c r="B25" s="3" t="n">
        <v>36</v>
      </c>
      <c r="C25" s="3" t="n">
        <v>8</v>
      </c>
      <c r="D25" s="3" t="n">
        <v>79</v>
      </c>
      <c r="E25" s="3" t="n">
        <v>9</v>
      </c>
      <c r="F25" s="4">
        <f>B25+C25+D25+E25</f>
        <v/>
      </c>
    </row>
    <row r="26">
      <c r="A26" s="5" t="inlineStr">
        <is>
          <t>Totals</t>
        </is>
      </c>
      <c r="B26" s="4">
        <f>SUM($B$3:$B$25)</f>
        <v/>
      </c>
      <c r="C26" s="4">
        <f>SUM($C$3:$C$25)</f>
        <v/>
      </c>
      <c r="D26" s="4">
        <f>SUM($D$3:$D$25)</f>
        <v/>
      </c>
      <c r="E26" s="4">
        <f>SUM($E$3:$E$25)</f>
        <v/>
      </c>
      <c r="F26" s="4">
        <f>SUM($F$3:$F$25)</f>
        <v/>
      </c>
    </row>
    <row r="29">
      <c r="A29" s="1" t="inlineStr">
        <is>
          <t>YoY Units Sold Comparison - Branch Group 1</t>
        </is>
      </c>
    </row>
    <row r="30">
      <c r="B30" s="1" t="inlineStr">
        <is>
          <t>LIBERT.R</t>
        </is>
      </c>
      <c r="C30" s="1" t="n"/>
      <c r="D30" s="1" t="n"/>
      <c r="E30" s="1" t="inlineStr">
        <is>
          <t>PASO.R</t>
        </is>
      </c>
      <c r="F30" s="1" t="n"/>
      <c r="G30" s="1" t="n"/>
      <c r="H30" s="1" t="inlineStr">
        <is>
          <t>P.OESTE</t>
        </is>
      </c>
      <c r="I30" s="1" t="n"/>
      <c r="J30" s="1" t="n"/>
      <c r="K30" s="1" t="inlineStr">
        <is>
          <t>Global</t>
        </is>
      </c>
      <c r="L30" s="1" t="n"/>
      <c r="M30" s="1" t="n"/>
    </row>
    <row r="31">
      <c r="A31" s="1" t="inlineStr">
        <is>
          <t>Familias</t>
        </is>
      </c>
      <c r="B31" s="1" t="n">
        <v>2025</v>
      </c>
      <c r="C31" s="1" t="n">
        <v>2026</v>
      </c>
      <c r="D31" s="1" t="inlineStr">
        <is>
          <t>%</t>
        </is>
      </c>
      <c r="E31" s="1" t="n">
        <v>2025</v>
      </c>
      <c r="F31" s="1" t="n">
        <v>2026</v>
      </c>
      <c r="G31" s="1" t="inlineStr">
        <is>
          <t>%</t>
        </is>
      </c>
      <c r="H31" s="1" t="n">
        <v>2025</v>
      </c>
      <c r="I31" s="1" t="n">
        <v>2026</v>
      </c>
      <c r="J31" s="1" t="inlineStr">
        <is>
          <t>%</t>
        </is>
      </c>
      <c r="K31" s="1" t="n">
        <v>2025</v>
      </c>
      <c r="L31" s="1" t="n">
        <v>2026</v>
      </c>
      <c r="M31" s="1" t="inlineStr">
        <is>
          <t>%</t>
        </is>
      </c>
    </row>
    <row r="32">
      <c r="A32" s="2" t="inlineStr">
        <is>
          <t>Accesorios</t>
        </is>
      </c>
      <c r="B32" s="3" t="n">
        <v>18</v>
      </c>
      <c r="C32" s="3" t="n">
        <v>16</v>
      </c>
      <c r="D32" s="6">
        <f>IF(B32=0, "N/A", (C32-B32)/B32)</f>
        <v/>
      </c>
      <c r="E32" s="3" t="n">
        <v>15</v>
      </c>
      <c r="F32" s="3" t="n">
        <v>25</v>
      </c>
      <c r="G32" s="6">
        <f>IF(E32=0, "N/A", (F32-E32)/E32)</f>
        <v/>
      </c>
      <c r="H32" s="3" t="n">
        <v>27</v>
      </c>
      <c r="I32" s="3" t="n">
        <v>26</v>
      </c>
      <c r="J32" s="6">
        <f>IF(H32=0, "N/A", (I32-H32)/H32)</f>
        <v/>
      </c>
      <c r="K32" s="3">
        <f>B32+E32+H32</f>
        <v/>
      </c>
      <c r="L32" s="3">
        <f>C32+F32+I32</f>
        <v/>
      </c>
      <c r="M32" s="6">
        <f>IF(K32=0, "N/A", (L32-K32)/K32)</f>
        <v/>
      </c>
    </row>
    <row r="33">
      <c r="A33" s="2" t="inlineStr">
        <is>
          <t>Bermudas</t>
        </is>
      </c>
      <c r="B33" s="3" t="n">
        <v>46</v>
      </c>
      <c r="C33" s="3" t="n">
        <v>29</v>
      </c>
      <c r="D33" s="6">
        <f>IF(B33=0, "N/A", (C33-B33)/B33)</f>
        <v/>
      </c>
      <c r="E33" s="3" t="n">
        <v>66</v>
      </c>
      <c r="F33" s="3" t="n">
        <v>65</v>
      </c>
      <c r="G33" s="6">
        <f>IF(E33=0, "N/A", (F33-E33)/E33)</f>
        <v/>
      </c>
      <c r="H33" s="3" t="n">
        <v>95</v>
      </c>
      <c r="I33" s="3" t="n">
        <v>135</v>
      </c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Boxer</t>
        </is>
      </c>
      <c r="B34" s="3" t="n">
        <v>1</v>
      </c>
      <c r="C34" s="3" t="n">
        <v>7</v>
      </c>
      <c r="D34" s="6">
        <f>IF(B34=0, "N/A", (C34-B34)/B34)</f>
        <v/>
      </c>
      <c r="E34" s="3" t="n">
        <v>1</v>
      </c>
      <c r="F34" s="3" t="n">
        <v>28</v>
      </c>
      <c r="G34" s="6">
        <f>IF(E34=0, "N/A", (F34-E34)/E34)</f>
        <v/>
      </c>
      <c r="H34" s="3" t="n">
        <v>32</v>
      </c>
      <c r="I34" s="3" t="n">
        <v>82</v>
      </c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Buzo C Capucha Rustico</t>
        </is>
      </c>
      <c r="B35" s="3" t="n"/>
      <c r="C35" s="3" t="n"/>
      <c r="D35" s="6">
        <f>IF(B35=0, "N/A", (C35-B35)/B35)</f>
        <v/>
      </c>
      <c r="E35" s="3" t="n"/>
      <c r="F35" s="3" t="n"/>
      <c r="G35" s="6">
        <f>IF(E35=0, "N/A", (F35-E35)/E35)</f>
        <v/>
      </c>
      <c r="H35" s="3" t="n">
        <v>2</v>
      </c>
      <c r="I35" s="3" t="n">
        <v>2</v>
      </c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 Cuello Redondo</t>
        </is>
      </c>
      <c r="B36" s="3" t="n"/>
      <c r="C36" s="3" t="n"/>
      <c r="D36" s="6">
        <f>IF(B36=0, "N/A", (C36-B36)/B36)</f>
        <v/>
      </c>
      <c r="E36" s="3" t="n">
        <v>2</v>
      </c>
      <c r="F36" s="3" t="n">
        <v>6</v>
      </c>
      <c r="G36" s="6">
        <f>IF(E36=0, "N/A", (F36-E36)/E36)</f>
        <v/>
      </c>
      <c r="H36" s="3" t="n">
        <v>2</v>
      </c>
      <c r="I36" s="3" t="n">
        <v>7</v>
      </c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Buzos C Capucha</t>
        </is>
      </c>
      <c r="B37" s="3" t="n">
        <v>2</v>
      </c>
      <c r="C37" s="3" t="n"/>
      <c r="D37" s="6">
        <f>IF(B37=0, "N/A", (C37-B37)/B37)</f>
        <v/>
      </c>
      <c r="E37" s="3" t="n">
        <v>3</v>
      </c>
      <c r="F37" s="3" t="n">
        <v>5</v>
      </c>
      <c r="G37" s="6">
        <f>IF(E37=0, "N/A", (F37-E37)/E37)</f>
        <v/>
      </c>
      <c r="H37" s="3" t="n"/>
      <c r="I37" s="3" t="n">
        <v>1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Buzos C Redondo Rustico</t>
        </is>
      </c>
      <c r="B38" s="3" t="n">
        <v>3</v>
      </c>
      <c r="C38" s="3" t="n"/>
      <c r="D38" s="6">
        <f>IF(B38=0, "N/A", (C38-B38)/B38)</f>
        <v/>
      </c>
      <c r="E38" s="3" t="n">
        <v>1</v>
      </c>
      <c r="F38" s="3" t="n"/>
      <c r="G38" s="6">
        <f>IF(E38=0, "N/A", (F38-E38)/E38)</f>
        <v/>
      </c>
      <c r="H38" s="3" t="n">
        <v>6</v>
      </c>
      <c r="I38" s="3" t="n"/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Buzos Medio Cierre</t>
        </is>
      </c>
      <c r="B39" s="3" t="n"/>
      <c r="C39" s="3" t="n"/>
      <c r="D39" s="6">
        <f>IF(B39=0, "N/A", (C39-B39)/B39)</f>
        <v/>
      </c>
      <c r="E39" s="3" t="n"/>
      <c r="F39" s="3" t="n">
        <v>2</v>
      </c>
      <c r="G39" s="6">
        <f>IF(E39=0, "N/A", (F39-E39)/E39)</f>
        <v/>
      </c>
      <c r="H39" s="3" t="n">
        <v>-1</v>
      </c>
      <c r="I39" s="3" t="n"/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Calzado</t>
        </is>
      </c>
      <c r="B40" s="3" t="n">
        <v>14</v>
      </c>
      <c r="C40" s="3" t="n">
        <v>8</v>
      </c>
      <c r="D40" s="6">
        <f>IF(B40=0, "N/A", (C40-B40)/B40)</f>
        <v/>
      </c>
      <c r="E40" s="3" t="n">
        <v>15</v>
      </c>
      <c r="F40" s="3" t="n">
        <v>11</v>
      </c>
      <c r="G40" s="6">
        <f>IF(E40=0, "N/A", (F40-E40)/E40)</f>
        <v/>
      </c>
      <c r="H40" s="3" t="n">
        <v>27</v>
      </c>
      <c r="I40" s="3" t="n">
        <v>8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Camisas</t>
        </is>
      </c>
      <c r="B41" s="3" t="n">
        <v>5</v>
      </c>
      <c r="C41" s="3" t="n">
        <v>14</v>
      </c>
      <c r="D41" s="6">
        <f>IF(B41=0, "N/A", (C41-B41)/B41)</f>
        <v/>
      </c>
      <c r="E41" s="3" t="n">
        <v>4</v>
      </c>
      <c r="F41" s="3" t="n">
        <v>8</v>
      </c>
      <c r="G41" s="6">
        <f>IF(E41=0, "N/A", (F41-E41)/E41)</f>
        <v/>
      </c>
      <c r="H41" s="3" t="n">
        <v>6</v>
      </c>
      <c r="I41" s="3" t="n">
        <v>37</v>
      </c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Camisetas Manga Larga</t>
        </is>
      </c>
      <c r="B42" s="3" t="n"/>
      <c r="C42" s="3" t="n"/>
      <c r="D42" s="6">
        <f>IF(B42=0, "N/A", (C42-B42)/B42)</f>
        <v/>
      </c>
      <c r="E42" s="3" t="n"/>
      <c r="F42" s="3" t="n">
        <v>2</v>
      </c>
      <c r="G42" s="6">
        <f>IF(E42=0, "N/A", (F42-E42)/E42)</f>
        <v/>
      </c>
      <c r="H42" s="3" t="n"/>
      <c r="I42" s="3" t="n"/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Campera Capucha Rustico</t>
        </is>
      </c>
      <c r="B43" s="3" t="n"/>
      <c r="C43" s="3" t="n"/>
      <c r="D43" s="6">
        <f>IF(B43=0, "N/A", (C43-B43)/B43)</f>
        <v/>
      </c>
      <c r="E43" s="3" t="n"/>
      <c r="F43" s="3" t="n"/>
      <c r="G43" s="6">
        <f>IF(E43=0, "N/A", (F43-E43)/E43)</f>
        <v/>
      </c>
      <c r="H43" s="3" t="n"/>
      <c r="I43" s="3" t="n">
        <v>2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Campera S Capucha</t>
        </is>
      </c>
      <c r="B44" s="3" t="n">
        <v>1</v>
      </c>
      <c r="C44" s="3" t="n"/>
      <c r="D44" s="6">
        <f>IF(B44=0, "N/A", (C44-B44)/B44)</f>
        <v/>
      </c>
      <c r="E44" s="3" t="n">
        <v>1</v>
      </c>
      <c r="F44" s="3" t="n">
        <v>-1</v>
      </c>
      <c r="G44" s="6">
        <f>IF(E44=0, "N/A", (F44-E44)/E44)</f>
        <v/>
      </c>
      <c r="H44" s="3" t="n"/>
      <c r="I44" s="3" t="n"/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Camperas Capucha</t>
        </is>
      </c>
      <c r="B45" s="3" t="n">
        <v>-1</v>
      </c>
      <c r="C45" s="3" t="n"/>
      <c r="D45" s="6">
        <f>IF(B45=0, "N/A", (C45-B45)/B45)</f>
        <v/>
      </c>
      <c r="E45" s="3" t="n">
        <v>1</v>
      </c>
      <c r="F45" s="3" t="n">
        <v>2</v>
      </c>
      <c r="G45" s="6">
        <f>IF(E45=0, "N/A", (F45-E45)/E45)</f>
        <v/>
      </c>
      <c r="H45" s="3" t="n"/>
      <c r="I45" s="3" t="n">
        <v>1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Camperas De Abrigo</t>
        </is>
      </c>
      <c r="B46" s="3" t="n"/>
      <c r="C46" s="3" t="n"/>
      <c r="D46" s="6">
        <f>IF(B46=0, "N/A", (C46-B46)/B46)</f>
        <v/>
      </c>
      <c r="E46" s="3" t="n"/>
      <c r="F46" s="3" t="n">
        <v>1</v>
      </c>
      <c r="G46" s="6">
        <f>IF(E46=0, "N/A", (F46-E46)/E46)</f>
        <v/>
      </c>
      <c r="H46" s="3" t="n"/>
      <c r="I46" s="3" t="n"/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Chombas</t>
        </is>
      </c>
      <c r="B47" s="3" t="n">
        <v>59</v>
      </c>
      <c r="C47" s="3" t="n">
        <v>35</v>
      </c>
      <c r="D47" s="6">
        <f>IF(B47=0, "N/A", (C47-B47)/B47)</f>
        <v/>
      </c>
      <c r="E47" s="3" t="n">
        <v>78</v>
      </c>
      <c r="F47" s="3" t="n">
        <v>53</v>
      </c>
      <c r="G47" s="6">
        <f>IF(E47=0, "N/A", (F47-E47)/E47)</f>
        <v/>
      </c>
      <c r="H47" s="3" t="n">
        <v>17</v>
      </c>
      <c r="I47" s="3" t="n">
        <v>96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Jeans</t>
        </is>
      </c>
      <c r="B48" s="3" t="n">
        <v>9</v>
      </c>
      <c r="C48" s="3" t="n">
        <v>14</v>
      </c>
      <c r="D48" s="6">
        <f>IF(B48=0, "N/A", (C48-B48)/B48)</f>
        <v/>
      </c>
      <c r="E48" s="3" t="n">
        <v>40</v>
      </c>
      <c r="F48" s="3" t="n">
        <v>26</v>
      </c>
      <c r="G48" s="6">
        <f>IF(E48=0, "N/A", (F48-E48)/E48)</f>
        <v/>
      </c>
      <c r="H48" s="3" t="n">
        <v>44</v>
      </c>
      <c r="I48" s="3" t="n">
        <v>70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Jogging</t>
        </is>
      </c>
      <c r="B49" s="3" t="n">
        <v>1</v>
      </c>
      <c r="C49" s="3" t="n">
        <v>1</v>
      </c>
      <c r="D49" s="6">
        <f>IF(B49=0, "N/A", (C49-B49)/B49)</f>
        <v/>
      </c>
      <c r="E49" s="3" t="n">
        <v>1</v>
      </c>
      <c r="F49" s="3" t="n">
        <v>-1</v>
      </c>
      <c r="G49" s="6">
        <f>IF(E49=0, "N/A", (F49-E49)/E49)</f>
        <v/>
      </c>
      <c r="H49" s="3" t="n"/>
      <c r="I49" s="3" t="n">
        <v>1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Jogging Corto</t>
        </is>
      </c>
      <c r="B50" s="3" t="n"/>
      <c r="C50" s="3" t="n">
        <v>1</v>
      </c>
      <c r="D50" s="6">
        <f>IF(B50=0, "N/A", (C50-B50)/B50)</f>
        <v/>
      </c>
      <c r="E50" s="3" t="n"/>
      <c r="F50" s="3" t="n">
        <v>4</v>
      </c>
      <c r="G50" s="6">
        <f>IF(E50=0, "N/A", (F50-E50)/E50)</f>
        <v/>
      </c>
      <c r="H50" s="3" t="n"/>
      <c r="I50" s="3" t="n">
        <v>10</v>
      </c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Musculosas</t>
        </is>
      </c>
      <c r="B51" s="3" t="n">
        <v>52</v>
      </c>
      <c r="C51" s="3" t="n">
        <v>24</v>
      </c>
      <c r="D51" s="6">
        <f>IF(B51=0, "N/A", (C51-B51)/B51)</f>
        <v/>
      </c>
      <c r="E51" s="3" t="n">
        <v>20</v>
      </c>
      <c r="F51" s="3" t="n">
        <v>24</v>
      </c>
      <c r="G51" s="6">
        <f>IF(E51=0, "N/A", (F51-E51)/E51)</f>
        <v/>
      </c>
      <c r="H51" s="3" t="n">
        <v>3</v>
      </c>
      <c r="I51" s="3" t="n">
        <v>19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Otro</t>
        </is>
      </c>
      <c r="B52" s="3" t="n">
        <v>16</v>
      </c>
      <c r="C52" s="3" t="n"/>
      <c r="D52" s="6">
        <f>IF(B52=0, "N/A", (C52-B52)/B52)</f>
        <v/>
      </c>
      <c r="E52" s="3" t="n">
        <v>17</v>
      </c>
      <c r="F52" s="3" t="n">
        <v>2</v>
      </c>
      <c r="G52" s="6">
        <f>IF(E52=0, "N/A", (F52-E52)/E52)</f>
        <v/>
      </c>
      <c r="H52" s="3" t="n"/>
      <c r="I52" s="3" t="n"/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Remeras</t>
        </is>
      </c>
      <c r="B53" s="3" t="n">
        <v>291</v>
      </c>
      <c r="C53" s="3" t="n">
        <v>221</v>
      </c>
      <c r="D53" s="6">
        <f>IF(B53=0, "N/A", (C53-B53)/B53)</f>
        <v/>
      </c>
      <c r="E53" s="3" t="n">
        <v>400</v>
      </c>
      <c r="F53" s="3" t="n">
        <v>251</v>
      </c>
      <c r="G53" s="6">
        <f>IF(E53=0, "N/A", (F53-E53)/E53)</f>
        <v/>
      </c>
      <c r="H53" s="3" t="n">
        <v>1041</v>
      </c>
      <c r="I53" s="3" t="n">
        <v>706</v>
      </c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Sweaters</t>
        </is>
      </c>
      <c r="B54" s="3" t="n"/>
      <c r="C54" s="3" t="n"/>
      <c r="D54" s="6">
        <f>IF(B54=0, "N/A", (C54-B54)/B54)</f>
        <v/>
      </c>
      <c r="E54" s="3" t="n"/>
      <c r="F54" s="3" t="n">
        <v>3</v>
      </c>
      <c r="G54" s="6">
        <f>IF(E54=0, "N/A", (F54-E54)/E54)</f>
        <v/>
      </c>
      <c r="H54" s="3" t="n"/>
      <c r="I54" s="3" t="n">
        <v>2</v>
      </c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2" t="inlineStr">
        <is>
          <t>Trajes De Baño</t>
        </is>
      </c>
      <c r="B55" s="3" t="n">
        <v>28</v>
      </c>
      <c r="C55" s="3" t="n">
        <v>36</v>
      </c>
      <c r="D55" s="6">
        <f>IF(B55=0, "N/A", (C55-B55)/B55)</f>
        <v/>
      </c>
      <c r="E55" s="3" t="n">
        <v>43</v>
      </c>
      <c r="F55" s="3" t="n">
        <v>8</v>
      </c>
      <c r="G55" s="6">
        <f>IF(E55=0, "N/A", (F55-E55)/E55)</f>
        <v/>
      </c>
      <c r="H55" s="3" t="n">
        <v>14</v>
      </c>
      <c r="I55" s="3" t="n">
        <v>79</v>
      </c>
      <c r="J55" s="6">
        <f>IF(H55=0, "N/A", (I55-H55)/H55)</f>
        <v/>
      </c>
      <c r="K55" s="3">
        <f>B55+E55+H55</f>
        <v/>
      </c>
      <c r="L55" s="3">
        <f>C55+F55+I55</f>
        <v/>
      </c>
      <c r="M55" s="6">
        <f>IF(K55=0, "N/A", (L55-K55)/K55)</f>
        <v/>
      </c>
    </row>
    <row r="56">
      <c r="A56" s="5" t="inlineStr">
        <is>
          <t>Totals</t>
        </is>
      </c>
      <c r="B56" s="4">
        <f>SUM($B32:$B55)</f>
        <v/>
      </c>
      <c r="C56" s="4">
        <f>SUM($C32:$C55)</f>
        <v/>
      </c>
      <c r="D56" s="7">
        <f>IF(B56=0, "N/A", (C56-B56)/B56)</f>
        <v/>
      </c>
      <c r="E56" s="4">
        <f>SUM($E32:$E55)</f>
        <v/>
      </c>
      <c r="F56" s="4">
        <f>SUM($F32:$F55)</f>
        <v/>
      </c>
      <c r="G56" s="7">
        <f>IF(E56=0, "N/A", (F56-E56)/E56)</f>
        <v/>
      </c>
      <c r="H56" s="4">
        <f>SUM($H32:$H55)</f>
        <v/>
      </c>
      <c r="I56" s="4">
        <f>SUM($I32:$I55)</f>
        <v/>
      </c>
      <c r="J56" s="7">
        <f>IF(H56=0, "N/A", (I56-H56)/H56)</f>
        <v/>
      </c>
      <c r="K56" s="4">
        <f>SUM($K32:$K55)</f>
        <v/>
      </c>
      <c r="L56" s="4">
        <f>SUM($L32:$L55)</f>
        <v/>
      </c>
      <c r="M56" s="7">
        <f>IF(K56=0, "N/A", (L56-K56)/K56)</f>
        <v/>
      </c>
    </row>
    <row r="59">
      <c r="A59" s="1" t="inlineStr">
        <is>
          <t>YoY Units Sold Comparison - Branch Group 2</t>
        </is>
      </c>
    </row>
    <row r="60">
      <c r="B60" s="1" t="inlineStr">
        <is>
          <t>VIRREYES</t>
        </is>
      </c>
      <c r="C60" s="1" t="n"/>
      <c r="D60" s="1" t="n"/>
    </row>
    <row r="61">
      <c r="A61" s="1" t="inlineStr">
        <is>
          <t>Familias</t>
        </is>
      </c>
      <c r="B61" s="1" t="n">
        <v>2025</v>
      </c>
      <c r="C61" s="1" t="n">
        <v>2026</v>
      </c>
      <c r="D61" s="1" t="inlineStr">
        <is>
          <t>%</t>
        </is>
      </c>
    </row>
    <row r="62">
      <c r="A62" s="2" t="inlineStr">
        <is>
          <t>Accesorios</t>
        </is>
      </c>
      <c r="B62" s="3" t="n">
        <v>1</v>
      </c>
      <c r="C62" s="3" t="n">
        <v>4</v>
      </c>
      <c r="D62" s="6">
        <f>IF(B62=0, "N/A", (C62-B62)/B62)</f>
        <v/>
      </c>
    </row>
    <row r="63">
      <c r="A63" s="2" t="inlineStr">
        <is>
          <t>Bermudas</t>
        </is>
      </c>
      <c r="B63" s="3" t="n">
        <v>4</v>
      </c>
      <c r="C63" s="3" t="n">
        <v>11</v>
      </c>
      <c r="D63" s="6">
        <f>IF(B63=0, "N/A", (C63-B63)/B63)</f>
        <v/>
      </c>
    </row>
    <row r="64">
      <c r="A64" s="2" t="inlineStr">
        <is>
          <t>Boxer</t>
        </is>
      </c>
      <c r="B64" s="3" t="n"/>
      <c r="C64" s="3" t="n">
        <v>1</v>
      </c>
      <c r="D64" s="6">
        <f>IF(B64=0, "N/A", (C64-B64)/B64)</f>
        <v/>
      </c>
    </row>
    <row r="65">
      <c r="A65" s="2" t="inlineStr">
        <is>
          <t>Calzado</t>
        </is>
      </c>
      <c r="B65" s="3" t="n">
        <v>3</v>
      </c>
      <c r="C65" s="3" t="n"/>
      <c r="D65" s="6">
        <f>IF(B65=0, "N/A", (C65-B65)/B65)</f>
        <v/>
      </c>
    </row>
    <row r="66">
      <c r="A66" s="2" t="inlineStr">
        <is>
          <t>Camisas</t>
        </is>
      </c>
      <c r="B66" s="3" t="n">
        <v>-1</v>
      </c>
      <c r="C66" s="3" t="n"/>
      <c r="D66" s="6">
        <f>IF(B66=0, "N/A", (C66-B66)/B66)</f>
        <v/>
      </c>
    </row>
    <row r="67">
      <c r="A67" s="2" t="inlineStr">
        <is>
          <t>Chombas</t>
        </is>
      </c>
      <c r="B67" s="3" t="n">
        <v>1</v>
      </c>
      <c r="C67" s="3" t="n"/>
      <c r="D67" s="6">
        <f>IF(B67=0, "N/A", (C67-B67)/B67)</f>
        <v/>
      </c>
    </row>
    <row r="68">
      <c r="A68" s="2" t="inlineStr">
        <is>
          <t>Jeans</t>
        </is>
      </c>
      <c r="B68" s="3" t="n">
        <v>2</v>
      </c>
      <c r="C68" s="3" t="n">
        <v>2</v>
      </c>
      <c r="D68" s="6">
        <f>IF(B68=0, "N/A", (C68-B68)/B68)</f>
        <v/>
      </c>
    </row>
    <row r="69">
      <c r="A69" s="2" t="inlineStr">
        <is>
          <t>Jogging Corto</t>
        </is>
      </c>
      <c r="B69" s="3" t="n">
        <v>4</v>
      </c>
      <c r="C69" s="3" t="n">
        <v>4</v>
      </c>
      <c r="D69" s="6">
        <f>IF(B69=0, "N/A", (C69-B69)/B69)</f>
        <v/>
      </c>
    </row>
    <row r="70">
      <c r="A70" s="2" t="inlineStr">
        <is>
          <t>Musculosas</t>
        </is>
      </c>
      <c r="B70" s="3" t="n">
        <v>8</v>
      </c>
      <c r="C70" s="3" t="n">
        <v>2</v>
      </c>
      <c r="D70" s="6">
        <f>IF(B70=0, "N/A", (C70-B70)/B70)</f>
        <v/>
      </c>
    </row>
    <row r="71">
      <c r="A71" s="2" t="inlineStr">
        <is>
          <t>Otro</t>
        </is>
      </c>
      <c r="B71" s="3" t="n"/>
      <c r="C71" s="3" t="n"/>
      <c r="D71" s="6">
        <f>IF(B71=0, "N/A", (C71-B71)/B71)</f>
        <v/>
      </c>
    </row>
    <row r="72">
      <c r="A72" s="2" t="inlineStr">
        <is>
          <t>Remeras</t>
        </is>
      </c>
      <c r="B72" s="3" t="n">
        <v>80</v>
      </c>
      <c r="C72" s="3" t="n">
        <v>40</v>
      </c>
      <c r="D72" s="6">
        <f>IF(B72=0, "N/A", (C72-B72)/B72)</f>
        <v/>
      </c>
    </row>
    <row r="73">
      <c r="A73" s="2" t="inlineStr">
        <is>
          <t>Trajes De Baño</t>
        </is>
      </c>
      <c r="B73" s="3" t="n">
        <v>8</v>
      </c>
      <c r="C73" s="3" t="n">
        <v>9</v>
      </c>
      <c r="D73" s="6">
        <f>IF(B73=0, "N/A", (C73-B73)/B73)</f>
        <v/>
      </c>
    </row>
    <row r="74">
      <c r="A74" s="5" t="inlineStr">
        <is>
          <t>Totals</t>
        </is>
      </c>
      <c r="B74" s="4">
        <f>SUM($B62:$B73)</f>
        <v/>
      </c>
      <c r="C74" s="4">
        <f>SUM($C62:$C73)</f>
        <v/>
      </c>
      <c r="D74" s="7">
        <f>IF(B74=0, "N/A", (C74-B74)/B74)</f>
        <v/>
      </c>
    </row>
    <row r="77">
      <c r="A77" s="1" t="inlineStr">
        <is>
          <t>Sales Amount from January 02, 2026 to January 31, 2026</t>
        </is>
      </c>
    </row>
    <row r="78">
      <c r="A78" s="1" t="inlineStr">
        <is>
          <t>Familias</t>
        </is>
      </c>
      <c r="B78" s="1" t="inlineStr">
        <is>
          <t>LIBERT.R</t>
        </is>
      </c>
      <c r="C78" s="1" t="inlineStr">
        <is>
          <t>PASO.R</t>
        </is>
      </c>
      <c r="D78" s="1" t="inlineStr">
        <is>
          <t>P.OESTE</t>
        </is>
      </c>
      <c r="E78" s="1" t="inlineStr">
        <is>
          <t>VIRREYES</t>
        </is>
      </c>
      <c r="F78" s="1" t="inlineStr">
        <is>
          <t>Totals</t>
        </is>
      </c>
    </row>
    <row r="79">
      <c r="A79" s="2" t="inlineStr">
        <is>
          <t>Accesorios</t>
        </is>
      </c>
      <c r="B79" s="8" t="n">
        <v>196300</v>
      </c>
      <c r="C79" s="8" t="n">
        <v>331197.3044</v>
      </c>
      <c r="D79" s="8" t="n">
        <v>770096.1461</v>
      </c>
      <c r="E79" s="8" t="n">
        <v>43997</v>
      </c>
      <c r="F79" s="9">
        <f>B79+C79+D79+E79</f>
        <v/>
      </c>
    </row>
    <row r="80">
      <c r="A80" s="2" t="inlineStr">
        <is>
          <t>Bermudas</t>
        </is>
      </c>
      <c r="B80" s="8" t="n">
        <v>1089848.0044</v>
      </c>
      <c r="C80" s="8" t="n">
        <v>2387911.569</v>
      </c>
      <c r="D80" s="8" t="n">
        <v>6149069.3346</v>
      </c>
      <c r="E80" s="8" t="n">
        <v>483400</v>
      </c>
      <c r="F80" s="9">
        <f>B80+C80+D80+E80</f>
        <v/>
      </c>
    </row>
    <row r="81">
      <c r="A81" s="2" t="inlineStr">
        <is>
          <t>Boxer</t>
        </is>
      </c>
      <c r="B81" s="8" t="n">
        <v>98451.7806</v>
      </c>
      <c r="C81" s="8" t="n">
        <v>392711.0825</v>
      </c>
      <c r="D81" s="8" t="n">
        <v>1367062.2003</v>
      </c>
      <c r="E81" s="8" t="n">
        <v>14500</v>
      </c>
      <c r="F81" s="9">
        <f>B81+C81+D81+E81</f>
        <v/>
      </c>
    </row>
    <row r="82">
      <c r="A82" s="2" t="inlineStr">
        <is>
          <t>Buzo C Capucha Rustico</t>
        </is>
      </c>
      <c r="B82" s="8" t="n"/>
      <c r="C82" s="8" t="n"/>
      <c r="D82" s="8" t="n">
        <v>113900</v>
      </c>
      <c r="E82" s="8" t="n"/>
      <c r="F82" s="9">
        <f>B82+C82+D82+E82</f>
        <v/>
      </c>
    </row>
    <row r="83">
      <c r="A83" s="2" t="inlineStr">
        <is>
          <t>Buzo Cuello Redondo</t>
        </is>
      </c>
      <c r="B83" s="8" t="n"/>
      <c r="C83" s="8" t="n">
        <v>200078.5963</v>
      </c>
      <c r="D83" s="8" t="n">
        <v>283300</v>
      </c>
      <c r="E83" s="8" t="n"/>
      <c r="F83" s="9">
        <f>B83+C83+D83+E83</f>
        <v/>
      </c>
    </row>
    <row r="84">
      <c r="A84" s="2" t="inlineStr">
        <is>
          <t>Buzos C Capucha</t>
        </is>
      </c>
      <c r="B84" s="8" t="n"/>
      <c r="C84" s="8" t="n">
        <v>194500</v>
      </c>
      <c r="D84" s="8" t="n">
        <v>49900</v>
      </c>
      <c r="E84" s="8" t="n"/>
      <c r="F84" s="9">
        <f>B84+C84+D84+E84</f>
        <v/>
      </c>
    </row>
    <row r="85">
      <c r="A85" s="2" t="inlineStr">
        <is>
          <t>Buzos Medio Cierre</t>
        </is>
      </c>
      <c r="B85" s="8" t="n"/>
      <c r="C85" s="8" t="n">
        <v>73400</v>
      </c>
      <c r="D85" s="8" t="n"/>
      <c r="E85" s="8" t="n"/>
      <c r="F85" s="9">
        <f>B85+C85+D85+E85</f>
        <v/>
      </c>
    </row>
    <row r="86">
      <c r="A86" s="2" t="inlineStr">
        <is>
          <t>Calzado</t>
        </is>
      </c>
      <c r="B86" s="8" t="n">
        <v>122498.3348</v>
      </c>
      <c r="C86" s="8" t="n">
        <v>174080</v>
      </c>
      <c r="D86" s="8" t="n">
        <v>159920</v>
      </c>
      <c r="E86" s="8" t="n"/>
      <c r="F86" s="9">
        <f>B86+C86+D86+E86</f>
        <v/>
      </c>
    </row>
    <row r="87">
      <c r="A87" s="2" t="inlineStr">
        <is>
          <t>Camisas</t>
        </is>
      </c>
      <c r="B87" s="8" t="n">
        <v>313142.7174</v>
      </c>
      <c r="C87" s="8" t="n">
        <v>190924.1974</v>
      </c>
      <c r="D87" s="8" t="n">
        <v>1111295.9981</v>
      </c>
      <c r="E87" s="8" t="n"/>
      <c r="F87" s="9">
        <f>B87+C87+D87+E87</f>
        <v/>
      </c>
    </row>
    <row r="88">
      <c r="A88" s="2" t="inlineStr">
        <is>
          <t>Camisetas Manga Larga</t>
        </is>
      </c>
      <c r="B88" s="8" t="n"/>
      <c r="C88" s="8" t="n">
        <v>99000</v>
      </c>
      <c r="D88" s="8" t="n"/>
      <c r="E88" s="8" t="n"/>
      <c r="F88" s="9">
        <f>B88+C88+D88+E88</f>
        <v/>
      </c>
    </row>
    <row r="89">
      <c r="A89" s="2" t="inlineStr">
        <is>
          <t>Campera Capucha Rustico</t>
        </is>
      </c>
      <c r="B89" s="8" t="n"/>
      <c r="C89" s="8" t="n"/>
      <c r="D89" s="8" t="n">
        <v>129890</v>
      </c>
      <c r="E89" s="8" t="n"/>
      <c r="F89" s="9">
        <f>B89+C89+D89+E89</f>
        <v/>
      </c>
    </row>
    <row r="90">
      <c r="A90" s="2" t="inlineStr">
        <is>
          <t>Campera S Capucha</t>
        </is>
      </c>
      <c r="B90" s="8" t="n"/>
      <c r="C90" s="8" t="n">
        <v>-29900</v>
      </c>
      <c r="D90" s="8" t="n"/>
      <c r="E90" s="8" t="n"/>
      <c r="F90" s="9">
        <f>B90+C90+D90+E90</f>
        <v/>
      </c>
    </row>
    <row r="91">
      <c r="A91" s="2" t="inlineStr">
        <is>
          <t>Camperas Capucha</t>
        </is>
      </c>
      <c r="B91" s="8" t="n"/>
      <c r="C91" s="8" t="n">
        <v>79800</v>
      </c>
      <c r="D91" s="8" t="n">
        <v>44900</v>
      </c>
      <c r="E91" s="8" t="n"/>
      <c r="F91" s="9">
        <f>B91+C91+D91+E91</f>
        <v/>
      </c>
    </row>
    <row r="92">
      <c r="A92" s="2" t="inlineStr">
        <is>
          <t>Camperas De Abrigo</t>
        </is>
      </c>
      <c r="B92" s="8" t="n"/>
      <c r="C92" s="8" t="n">
        <v>52539.1196</v>
      </c>
      <c r="D92" s="8" t="n"/>
      <c r="E92" s="8" t="n"/>
      <c r="F92" s="9">
        <f>B92+C92+D92+E92</f>
        <v/>
      </c>
    </row>
    <row r="93">
      <c r="A93" s="2" t="inlineStr">
        <is>
          <t>Chombas</t>
        </is>
      </c>
      <c r="B93" s="8" t="n">
        <v>928035.9629</v>
      </c>
      <c r="C93" s="8" t="n">
        <v>1533707.2003</v>
      </c>
      <c r="D93" s="8" t="n">
        <v>2714790.5133</v>
      </c>
      <c r="E93" s="8" t="n"/>
      <c r="F93" s="9">
        <f>B93+C93+D93+E93</f>
        <v/>
      </c>
    </row>
    <row r="94">
      <c r="A94" s="2" t="inlineStr">
        <is>
          <t>Jeans</t>
        </is>
      </c>
      <c r="B94" s="8" t="n">
        <v>894670.5654</v>
      </c>
      <c r="C94" s="8" t="n">
        <v>1640128.3248</v>
      </c>
      <c r="D94" s="8" t="n">
        <v>4353800</v>
      </c>
      <c r="E94" s="8" t="n">
        <v>107100</v>
      </c>
      <c r="F94" s="9">
        <f>B94+C94+D94+E94</f>
        <v/>
      </c>
    </row>
    <row r="95">
      <c r="A95" s="2" t="inlineStr">
        <is>
          <t>Jogging</t>
        </is>
      </c>
      <c r="B95" s="8" t="n">
        <v>20100</v>
      </c>
      <c r="C95" s="8" t="n">
        <v>-33500</v>
      </c>
      <c r="D95" s="8" t="n">
        <v>44900</v>
      </c>
      <c r="E95" s="8" t="n"/>
      <c r="F95" s="9">
        <f>B95+C95+D95+E95</f>
        <v/>
      </c>
    </row>
    <row r="96">
      <c r="A96" s="2" t="inlineStr">
        <is>
          <t>Jogging Corto</t>
        </is>
      </c>
      <c r="B96" s="8" t="n">
        <v>53000</v>
      </c>
      <c r="C96" s="8" t="n">
        <v>180178.6122</v>
      </c>
      <c r="D96" s="8" t="n">
        <v>399100</v>
      </c>
      <c r="E96" s="8" t="n">
        <v>144000</v>
      </c>
      <c r="F96" s="9">
        <f>B96+C96+D96+E96</f>
        <v/>
      </c>
    </row>
    <row r="97">
      <c r="A97" s="2" t="inlineStr">
        <is>
          <t>Musculosas</t>
        </is>
      </c>
      <c r="B97" s="8" t="n">
        <v>497757.4157</v>
      </c>
      <c r="C97" s="8" t="n">
        <v>411710.8957</v>
      </c>
      <c r="D97" s="8" t="n">
        <v>492360</v>
      </c>
      <c r="E97" s="8" t="n">
        <v>46250</v>
      </c>
      <c r="F97" s="9">
        <f>B97+C97+D97+E97</f>
        <v/>
      </c>
    </row>
    <row r="98">
      <c r="A98" s="2" t="inlineStr">
        <is>
          <t>Otro</t>
        </is>
      </c>
      <c r="B98" s="8" t="n"/>
      <c r="C98" s="8" t="n">
        <v>22000</v>
      </c>
      <c r="D98" s="8" t="n"/>
      <c r="E98" s="8" t="n"/>
      <c r="F98" s="9">
        <f>B98+C98+D98+E98</f>
        <v/>
      </c>
    </row>
    <row r="99">
      <c r="A99" s="2" t="inlineStr">
        <is>
          <t>Remeras</t>
        </is>
      </c>
      <c r="B99" s="8" t="n">
        <v>5110547.1941</v>
      </c>
      <c r="C99" s="8" t="n">
        <v>5738976.2225</v>
      </c>
      <c r="D99" s="8" t="n">
        <v>18273446.9591</v>
      </c>
      <c r="E99" s="8" t="n">
        <v>735440</v>
      </c>
      <c r="F99" s="9">
        <f>B99+C99+D99+E99</f>
        <v/>
      </c>
    </row>
    <row r="100">
      <c r="A100" s="2" t="inlineStr">
        <is>
          <t>Sweaters</t>
        </is>
      </c>
      <c r="B100" s="8" t="n"/>
      <c r="C100" s="8" t="n">
        <v>99866.6012</v>
      </c>
      <c r="D100" s="8" t="n">
        <v>125900</v>
      </c>
      <c r="E100" s="8" t="n"/>
      <c r="F100" s="9">
        <f>B100+C100+D100+E100</f>
        <v/>
      </c>
    </row>
    <row r="101">
      <c r="A101" s="2" t="inlineStr">
        <is>
          <t>Trajes De Baño</t>
        </is>
      </c>
      <c r="B101" s="8" t="n">
        <v>992418.0347</v>
      </c>
      <c r="C101" s="8" t="n">
        <v>217874.8241</v>
      </c>
      <c r="D101" s="8" t="n">
        <v>2306215.7585</v>
      </c>
      <c r="E101" s="8" t="n">
        <v>238420</v>
      </c>
      <c r="F101" s="9">
        <f>B101+C101+D101+E101</f>
        <v/>
      </c>
    </row>
    <row r="102">
      <c r="A102" s="5" t="inlineStr">
        <is>
          <t>Totals</t>
        </is>
      </c>
      <c r="B102" s="9">
        <f>SUM($B$79:$B$101)</f>
        <v/>
      </c>
      <c r="C102" s="9">
        <f>SUM($C$79:$C$101)</f>
        <v/>
      </c>
      <c r="D102" s="9">
        <f>SUM($D$79:$D$101)</f>
        <v/>
      </c>
      <c r="E102" s="9">
        <f>SUM($E$79:$E$101)</f>
        <v/>
      </c>
      <c r="F102" s="9">
        <f>SUM($F$79:$F$101)</f>
        <v/>
      </c>
    </row>
    <row r="105">
      <c r="A105" s="1" t="inlineStr">
        <is>
          <t>YoY Sales Amount Comparison - Branch Group 1</t>
        </is>
      </c>
    </row>
    <row r="106">
      <c r="B106" s="1" t="inlineStr">
        <is>
          <t>LIBERT.R</t>
        </is>
      </c>
      <c r="C106" s="1" t="n"/>
      <c r="D106" s="1" t="n"/>
      <c r="E106" s="1" t="inlineStr">
        <is>
          <t>PASO.R</t>
        </is>
      </c>
      <c r="F106" s="1" t="n"/>
      <c r="G106" s="1" t="n"/>
      <c r="H106" s="1" t="inlineStr">
        <is>
          <t>P.OESTE</t>
        </is>
      </c>
      <c r="I106" s="1" t="n"/>
      <c r="J106" s="1" t="n"/>
      <c r="K106" s="1" t="inlineStr">
        <is>
          <t>Global</t>
        </is>
      </c>
      <c r="L106" s="1" t="n"/>
      <c r="M106" s="1" t="n"/>
    </row>
    <row r="107">
      <c r="A107" s="1" t="inlineStr">
        <is>
          <t>Familias</t>
        </is>
      </c>
      <c r="B107" s="1" t="n">
        <v>2025</v>
      </c>
      <c r="C107" s="1" t="n">
        <v>2026</v>
      </c>
      <c r="D107" s="1" t="inlineStr">
        <is>
          <t>%</t>
        </is>
      </c>
      <c r="E107" s="1" t="n">
        <v>2025</v>
      </c>
      <c r="F107" s="1" t="n">
        <v>2026</v>
      </c>
      <c r="G107" s="1" t="inlineStr">
        <is>
          <t>%</t>
        </is>
      </c>
      <c r="H107" s="1" t="n">
        <v>2025</v>
      </c>
      <c r="I107" s="1" t="n">
        <v>2026</v>
      </c>
      <c r="J107" s="1" t="inlineStr">
        <is>
          <t>%</t>
        </is>
      </c>
      <c r="K107" s="1" t="n">
        <v>2025</v>
      </c>
      <c r="L107" s="1" t="n">
        <v>2026</v>
      </c>
      <c r="M107" s="1" t="inlineStr">
        <is>
          <t>%</t>
        </is>
      </c>
    </row>
    <row r="108">
      <c r="A108" s="2" t="inlineStr">
        <is>
          <t>Accesorios</t>
        </is>
      </c>
      <c r="B108" s="8" t="n">
        <v>157427.3452</v>
      </c>
      <c r="C108" s="8" t="n">
        <v>196300</v>
      </c>
      <c r="D108" s="6">
        <f>IF(B108=0, "N/A", (C108-B108)/B108)</f>
        <v/>
      </c>
      <c r="E108" s="8" t="n">
        <v>158997.6882</v>
      </c>
      <c r="F108" s="8" t="n">
        <v>331197.3044</v>
      </c>
      <c r="G108" s="6">
        <f>IF(E108=0, "N/A", (F108-E108)/E108)</f>
        <v/>
      </c>
      <c r="H108" s="8" t="n">
        <v>439310</v>
      </c>
      <c r="I108" s="8" t="n">
        <v>770096.1461</v>
      </c>
      <c r="J108" s="6">
        <f>IF(H108=0, "N/A", (I108-H108)/H108)</f>
        <v/>
      </c>
      <c r="K108" s="8">
        <f>B108+E108+H108</f>
        <v/>
      </c>
      <c r="L108" s="8">
        <f>C108+F108+I108</f>
        <v/>
      </c>
      <c r="M108" s="6">
        <f>IF(K108=0, "N/A", (L108-K108)/K108)</f>
        <v/>
      </c>
    </row>
    <row r="109">
      <c r="A109" s="2" t="inlineStr">
        <is>
          <t>Bermudas</t>
        </is>
      </c>
      <c r="B109" s="8" t="n">
        <v>2339918.9302</v>
      </c>
      <c r="C109" s="8" t="n">
        <v>1089848.0044</v>
      </c>
      <c r="D109" s="6">
        <f>IF(B109=0, "N/A", (C109-B109)/B109)</f>
        <v/>
      </c>
      <c r="E109" s="8" t="n">
        <v>3079694.2894</v>
      </c>
      <c r="F109" s="8" t="n">
        <v>2387911.569</v>
      </c>
      <c r="G109" s="6">
        <f>IF(E109=0, "N/A", (F109-E109)/E109)</f>
        <v/>
      </c>
      <c r="H109" s="8" t="n">
        <v>5008381.2231</v>
      </c>
      <c r="I109" s="8" t="n">
        <v>6149069.3346</v>
      </c>
      <c r="J109" s="6">
        <f>IF(H109=0, "N/A", (I109-H109)/H109)</f>
        <v/>
      </c>
      <c r="K109" s="8">
        <f>B109+E109+H109</f>
        <v/>
      </c>
      <c r="L109" s="8">
        <f>C109+F109+I109</f>
        <v/>
      </c>
      <c r="M109" s="6">
        <f>IF(K109=0, "N/A", (L109-K109)/K109)</f>
        <v/>
      </c>
    </row>
    <row r="110">
      <c r="A110" s="2" t="inlineStr">
        <is>
          <t>Boxer</t>
        </is>
      </c>
      <c r="B110" s="8" t="n">
        <v>13000</v>
      </c>
      <c r="C110" s="8" t="n">
        <v>98451.7806</v>
      </c>
      <c r="D110" s="6">
        <f>IF(B110=0, "N/A", (C110-B110)/B110)</f>
        <v/>
      </c>
      <c r="E110" s="8" t="n">
        <v>12800</v>
      </c>
      <c r="F110" s="8" t="n">
        <v>392711.0825</v>
      </c>
      <c r="G110" s="6">
        <f>IF(E110=0, "N/A", (F110-E110)/E110)</f>
        <v/>
      </c>
      <c r="H110" s="8" t="n">
        <v>473148.1701</v>
      </c>
      <c r="I110" s="8" t="n">
        <v>1367062.2003</v>
      </c>
      <c r="J110" s="6">
        <f>IF(H110=0, "N/A", (I110-H110)/H110)</f>
        <v/>
      </c>
      <c r="K110" s="8">
        <f>B110+E110+H110</f>
        <v/>
      </c>
      <c r="L110" s="8">
        <f>C110+F110+I110</f>
        <v/>
      </c>
      <c r="M110" s="6">
        <f>IF(K110=0, "N/A", (L110-K110)/K110)</f>
        <v/>
      </c>
    </row>
    <row r="111">
      <c r="A111" s="2" t="inlineStr">
        <is>
          <t>Buzo C Capucha Rustico</t>
        </is>
      </c>
      <c r="B111" s="8" t="n"/>
      <c r="C111" s="8" t="n"/>
      <c r="D111" s="6">
        <f>IF(B111=0, "N/A", (C111-B111)/B111)</f>
        <v/>
      </c>
      <c r="E111" s="8" t="n"/>
      <c r="F111" s="8" t="n"/>
      <c r="G111" s="6">
        <f>IF(E111=0, "N/A", (F111-E111)/E111)</f>
        <v/>
      </c>
      <c r="H111" s="8" t="n">
        <v>112000</v>
      </c>
      <c r="I111" s="8" t="n">
        <v>113900</v>
      </c>
      <c r="J111" s="6">
        <f>IF(H111=0, "N/A", (I111-H111)/H111)</f>
        <v/>
      </c>
      <c r="K111" s="8">
        <f>B111+E111+H111</f>
        <v/>
      </c>
      <c r="L111" s="8">
        <f>C111+F111+I111</f>
        <v/>
      </c>
      <c r="M111" s="6">
        <f>IF(K111=0, "N/A", (L111-K111)/K111)</f>
        <v/>
      </c>
    </row>
    <row r="112">
      <c r="A112" s="2" t="inlineStr">
        <is>
          <t>Buzo Cuello Redondo</t>
        </is>
      </c>
      <c r="B112" s="8" t="n"/>
      <c r="C112" s="8" t="n"/>
      <c r="D112" s="6">
        <f>IF(B112=0, "N/A", (C112-B112)/B112)</f>
        <v/>
      </c>
      <c r="E112" s="8" t="n">
        <v>76804.5251</v>
      </c>
      <c r="F112" s="8" t="n">
        <v>200078.5963</v>
      </c>
      <c r="G112" s="6">
        <f>IF(E112=0, "N/A", (F112-E112)/E112)</f>
        <v/>
      </c>
      <c r="H112" s="8" t="n">
        <v>85125.33929999999</v>
      </c>
      <c r="I112" s="8" t="n">
        <v>283300</v>
      </c>
      <c r="J112" s="6">
        <f>IF(H112=0, "N/A", (I112-H112)/H112)</f>
        <v/>
      </c>
      <c r="K112" s="8">
        <f>B112+E112+H112</f>
        <v/>
      </c>
      <c r="L112" s="8">
        <f>C112+F112+I112</f>
        <v/>
      </c>
      <c r="M112" s="6">
        <f>IF(K112=0, "N/A", (L112-K112)/K112)</f>
        <v/>
      </c>
    </row>
    <row r="113">
      <c r="A113" s="2" t="inlineStr">
        <is>
          <t>Buzos C Capucha</t>
        </is>
      </c>
      <c r="B113" s="8" t="n">
        <v>63000</v>
      </c>
      <c r="C113" s="8" t="n"/>
      <c r="D113" s="6">
        <f>IF(B113=0, "N/A", (C113-B113)/B113)</f>
        <v/>
      </c>
      <c r="E113" s="8" t="n">
        <v>127300</v>
      </c>
      <c r="F113" s="8" t="n">
        <v>194500</v>
      </c>
      <c r="G113" s="6">
        <f>IF(E113=0, "N/A", (F113-E113)/E113)</f>
        <v/>
      </c>
      <c r="H113" s="8" t="n"/>
      <c r="I113" s="8" t="n">
        <v>49900</v>
      </c>
      <c r="J113" s="6">
        <f>IF(H113=0, "N/A", (I113-H113)/H113)</f>
        <v/>
      </c>
      <c r="K113" s="8">
        <f>B113+E113+H113</f>
        <v/>
      </c>
      <c r="L113" s="8">
        <f>C113+F113+I113</f>
        <v/>
      </c>
      <c r="M113" s="6">
        <f>IF(K113=0, "N/A", (L113-K113)/K113)</f>
        <v/>
      </c>
    </row>
    <row r="114">
      <c r="A114" s="2" t="inlineStr">
        <is>
          <t>Buzos C Redondo Rustico</t>
        </is>
      </c>
      <c r="B114" s="8" t="n">
        <v>79800</v>
      </c>
      <c r="C114" s="8" t="n"/>
      <c r="D114" s="6">
        <f>IF(B114=0, "N/A", (C114-B114)/B114)</f>
        <v/>
      </c>
      <c r="E114" s="8" t="n">
        <v>39900</v>
      </c>
      <c r="F114" s="8" t="n"/>
      <c r="G114" s="6">
        <f>IF(E114=0, "N/A", (F114-E114)/E114)</f>
        <v/>
      </c>
      <c r="H114" s="8" t="n">
        <v>267000</v>
      </c>
      <c r="I114" s="8" t="n"/>
      <c r="J114" s="6">
        <f>IF(H114=0, "N/A", (I114-H114)/H114)</f>
        <v/>
      </c>
      <c r="K114" s="8">
        <f>B114+E114+H114</f>
        <v/>
      </c>
      <c r="L114" s="8">
        <f>C114+F114+I114</f>
        <v/>
      </c>
      <c r="M114" s="6">
        <f>IF(K114=0, "N/A", (L114-K114)/K114)</f>
        <v/>
      </c>
    </row>
    <row r="115">
      <c r="A115" s="2" t="inlineStr">
        <is>
          <t>Buzos Medio Cierre</t>
        </is>
      </c>
      <c r="B115" s="8" t="n"/>
      <c r="C115" s="8" t="n"/>
      <c r="D115" s="6">
        <f>IF(B115=0, "N/A", (C115-B115)/B115)</f>
        <v/>
      </c>
      <c r="E115" s="8" t="n"/>
      <c r="F115" s="8" t="n">
        <v>73400</v>
      </c>
      <c r="G115" s="6">
        <f>IF(E115=0, "N/A", (F115-E115)/E115)</f>
        <v/>
      </c>
      <c r="H115" s="8" t="n">
        <v>-32750</v>
      </c>
      <c r="I115" s="8" t="n"/>
      <c r="J115" s="6">
        <f>IF(H115=0, "N/A", (I115-H115)/H115)</f>
        <v/>
      </c>
      <c r="K115" s="8">
        <f>B115+E115+H115</f>
        <v/>
      </c>
      <c r="L115" s="8">
        <f>C115+F115+I115</f>
        <v/>
      </c>
      <c r="M115" s="6">
        <f>IF(K115=0, "N/A", (L115-K115)/K115)</f>
        <v/>
      </c>
    </row>
    <row r="116">
      <c r="A116" s="2" t="inlineStr">
        <is>
          <t>Calzado</t>
        </is>
      </c>
      <c r="B116" s="8" t="n">
        <v>250600</v>
      </c>
      <c r="C116" s="8" t="n">
        <v>122498.3348</v>
      </c>
      <c r="D116" s="6">
        <f>IF(B116=0, "N/A", (C116-B116)/B116)</f>
        <v/>
      </c>
      <c r="E116" s="8" t="n">
        <v>265838.0609</v>
      </c>
      <c r="F116" s="8" t="n">
        <v>174080</v>
      </c>
      <c r="G116" s="6">
        <f>IF(E116=0, "N/A", (F116-E116)/E116)</f>
        <v/>
      </c>
      <c r="H116" s="8" t="n">
        <v>581030</v>
      </c>
      <c r="I116" s="8" t="n">
        <v>159920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Camisas</t>
        </is>
      </c>
      <c r="B117" s="8" t="n">
        <v>160083.3328</v>
      </c>
      <c r="C117" s="8" t="n">
        <v>313142.7174</v>
      </c>
      <c r="D117" s="6">
        <f>IF(B117=0, "N/A", (C117-B117)/B117)</f>
        <v/>
      </c>
      <c r="E117" s="8" t="n">
        <v>129679.9957</v>
      </c>
      <c r="F117" s="8" t="n">
        <v>190924.1974</v>
      </c>
      <c r="G117" s="6">
        <f>IF(E117=0, "N/A", (F117-E117)/E117)</f>
        <v/>
      </c>
      <c r="H117" s="8" t="n">
        <v>294164</v>
      </c>
      <c r="I117" s="8" t="n">
        <v>1111295.9981</v>
      </c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Camisetas Manga Larga</t>
        </is>
      </c>
      <c r="B118" s="8" t="n"/>
      <c r="C118" s="8" t="n"/>
      <c r="D118" s="6">
        <f>IF(B118=0, "N/A", (C118-B118)/B118)</f>
        <v/>
      </c>
      <c r="E118" s="8" t="n"/>
      <c r="F118" s="8" t="n">
        <v>99000</v>
      </c>
      <c r="G118" s="6">
        <f>IF(E118=0, "N/A", (F118-E118)/E118)</f>
        <v/>
      </c>
      <c r="H118" s="8" t="n"/>
      <c r="I118" s="8" t="n"/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Campera Capucha Rustico</t>
        </is>
      </c>
      <c r="B119" s="8" t="n"/>
      <c r="C119" s="8" t="n"/>
      <c r="D119" s="6">
        <f>IF(B119=0, "N/A", (C119-B119)/B119)</f>
        <v/>
      </c>
      <c r="E119" s="8" t="n"/>
      <c r="F119" s="8" t="n"/>
      <c r="G119" s="6">
        <f>IF(E119=0, "N/A", (F119-E119)/E119)</f>
        <v/>
      </c>
      <c r="H119" s="8" t="n"/>
      <c r="I119" s="8" t="n">
        <v>129890</v>
      </c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Campera S Capucha</t>
        </is>
      </c>
      <c r="B120" s="8" t="n">
        <v>28854.1704</v>
      </c>
      <c r="C120" s="8" t="n"/>
      <c r="D120" s="6">
        <f>IF(B120=0, "N/A", (C120-B120)/B120)</f>
        <v/>
      </c>
      <c r="E120" s="8" t="n">
        <v>32824.4108</v>
      </c>
      <c r="F120" s="8" t="n">
        <v>-29900</v>
      </c>
      <c r="G120" s="6">
        <f>IF(E120=0, "N/A", (F120-E120)/E120)</f>
        <v/>
      </c>
      <c r="H120" s="8" t="n"/>
      <c r="I120" s="8" t="n"/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Camperas Capucha</t>
        </is>
      </c>
      <c r="B121" s="8" t="n">
        <v>-54900</v>
      </c>
      <c r="C121" s="8" t="n"/>
      <c r="D121" s="6">
        <f>IF(B121=0, "N/A", (C121-B121)/B121)</f>
        <v/>
      </c>
      <c r="E121" s="8" t="n">
        <v>38852.1217</v>
      </c>
      <c r="F121" s="8" t="n">
        <v>79800</v>
      </c>
      <c r="G121" s="6">
        <f>IF(E121=0, "N/A", (F121-E121)/E121)</f>
        <v/>
      </c>
      <c r="H121" s="8" t="n"/>
      <c r="I121" s="8" t="n">
        <v>44900</v>
      </c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Camperas De Abrigo</t>
        </is>
      </c>
      <c r="B122" s="8" t="n"/>
      <c r="C122" s="8" t="n"/>
      <c r="D122" s="6">
        <f>IF(B122=0, "N/A", (C122-B122)/B122)</f>
        <v/>
      </c>
      <c r="E122" s="8" t="n"/>
      <c r="F122" s="8" t="n">
        <v>52539.1196</v>
      </c>
      <c r="G122" s="6">
        <f>IF(E122=0, "N/A", (F122-E122)/E122)</f>
        <v/>
      </c>
      <c r="H122" s="8" t="n"/>
      <c r="I122" s="8" t="n"/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Chombas</t>
        </is>
      </c>
      <c r="B123" s="8" t="n">
        <v>1353474.2017</v>
      </c>
      <c r="C123" s="8" t="n">
        <v>928035.9629</v>
      </c>
      <c r="D123" s="6">
        <f>IF(B123=0, "N/A", (C123-B123)/B123)</f>
        <v/>
      </c>
      <c r="E123" s="8" t="n">
        <v>1795523.0471</v>
      </c>
      <c r="F123" s="8" t="n">
        <v>1533707.2003</v>
      </c>
      <c r="G123" s="6">
        <f>IF(E123=0, "N/A", (F123-E123)/E123)</f>
        <v/>
      </c>
      <c r="H123" s="8" t="n">
        <v>646875</v>
      </c>
      <c r="I123" s="8" t="n">
        <v>2714790.5133</v>
      </c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Jeans</t>
        </is>
      </c>
      <c r="B124" s="8" t="n">
        <v>398669.6691</v>
      </c>
      <c r="C124" s="8" t="n">
        <v>894670.5654</v>
      </c>
      <c r="D124" s="6">
        <f>IF(B124=0, "N/A", (C124-B124)/B124)</f>
        <v/>
      </c>
      <c r="E124" s="8" t="n">
        <v>1804310.7999</v>
      </c>
      <c r="F124" s="8" t="n">
        <v>1640128.3248</v>
      </c>
      <c r="G124" s="6">
        <f>IF(E124=0, "N/A", (F124-E124)/E124)</f>
        <v/>
      </c>
      <c r="H124" s="8" t="n">
        <v>2531963.4549</v>
      </c>
      <c r="I124" s="8" t="n">
        <v>4353800</v>
      </c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Jogging</t>
        </is>
      </c>
      <c r="B125" s="8" t="n">
        <v>34900</v>
      </c>
      <c r="C125" s="8" t="n">
        <v>20100</v>
      </c>
      <c r="D125" s="6">
        <f>IF(B125=0, "N/A", (C125-B125)/B125)</f>
        <v/>
      </c>
      <c r="E125" s="8" t="n">
        <v>27900</v>
      </c>
      <c r="F125" s="8" t="n">
        <v>-33500</v>
      </c>
      <c r="G125" s="6">
        <f>IF(E125=0, "N/A", (F125-E125)/E125)</f>
        <v/>
      </c>
      <c r="H125" s="8" t="n"/>
      <c r="I125" s="8" t="n">
        <v>44900</v>
      </c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Jogging Corto</t>
        </is>
      </c>
      <c r="B126" s="8" t="n"/>
      <c r="C126" s="8" t="n">
        <v>53000</v>
      </c>
      <c r="D126" s="6">
        <f>IF(B126=0, "N/A", (C126-B126)/B126)</f>
        <v/>
      </c>
      <c r="E126" s="8" t="n"/>
      <c r="F126" s="8" t="n">
        <v>180178.6122</v>
      </c>
      <c r="G126" s="6">
        <f>IF(E126=0, "N/A", (F126-E126)/E126)</f>
        <v/>
      </c>
      <c r="H126" s="8" t="n"/>
      <c r="I126" s="8" t="n">
        <v>399100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Musculosas</t>
        </is>
      </c>
      <c r="B127" s="8" t="n">
        <v>923497.1252</v>
      </c>
      <c r="C127" s="8" t="n">
        <v>497757.4157</v>
      </c>
      <c r="D127" s="6">
        <f>IF(B127=0, "N/A", (C127-B127)/B127)</f>
        <v/>
      </c>
      <c r="E127" s="8" t="n">
        <v>352206.4875</v>
      </c>
      <c r="F127" s="8" t="n">
        <v>411710.8957</v>
      </c>
      <c r="G127" s="6">
        <f>IF(E127=0, "N/A", (F127-E127)/E127)</f>
        <v/>
      </c>
      <c r="H127" s="8" t="n">
        <v>49730</v>
      </c>
      <c r="I127" s="8" t="n">
        <v>492360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Otro</t>
        </is>
      </c>
      <c r="B128" s="8" t="n">
        <v>171357.5826</v>
      </c>
      <c r="C128" s="8" t="n"/>
      <c r="D128" s="6">
        <f>IF(B128=0, "N/A", (C128-B128)/B128)</f>
        <v/>
      </c>
      <c r="E128" s="8" t="n">
        <v>193816.6028</v>
      </c>
      <c r="F128" s="8" t="n">
        <v>22000</v>
      </c>
      <c r="G128" s="6">
        <f>IF(E128=0, "N/A", (F128-E128)/E128)</f>
        <v/>
      </c>
      <c r="H128" s="8" t="n"/>
      <c r="I128" s="8" t="n"/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2" t="inlineStr">
        <is>
          <t>Remeras</t>
        </is>
      </c>
      <c r="B129" s="8" t="n">
        <v>6320131.6077</v>
      </c>
      <c r="C129" s="8" t="n">
        <v>5110547.1941</v>
      </c>
      <c r="D129" s="6">
        <f>IF(B129=0, "N/A", (C129-B129)/B129)</f>
        <v/>
      </c>
      <c r="E129" s="8" t="n">
        <v>8659685.937000001</v>
      </c>
      <c r="F129" s="8" t="n">
        <v>5738976.2225</v>
      </c>
      <c r="G129" s="6">
        <f>IF(E129=0, "N/A", (F129-E129)/E129)</f>
        <v/>
      </c>
      <c r="H129" s="8" t="n">
        <v>22314075.8126</v>
      </c>
      <c r="I129" s="8" t="n">
        <v>18273446.9591</v>
      </c>
      <c r="J129" s="6">
        <f>IF(H129=0, "N/A", (I129-H129)/H129)</f>
        <v/>
      </c>
      <c r="K129" s="8">
        <f>B129+E129+H129</f>
        <v/>
      </c>
      <c r="L129" s="8">
        <f>C129+F129+I129</f>
        <v/>
      </c>
      <c r="M129" s="6">
        <f>IF(K129=0, "N/A", (L129-K129)/K129)</f>
        <v/>
      </c>
    </row>
    <row r="130">
      <c r="A130" s="2" t="inlineStr">
        <is>
          <t>Sweaters</t>
        </is>
      </c>
      <c r="B130" s="8" t="n"/>
      <c r="C130" s="8" t="n"/>
      <c r="D130" s="6">
        <f>IF(B130=0, "N/A", (C130-B130)/B130)</f>
        <v/>
      </c>
      <c r="E130" s="8" t="n"/>
      <c r="F130" s="8" t="n">
        <v>99866.6012</v>
      </c>
      <c r="G130" s="6">
        <f>IF(E130=0, "N/A", (F130-E130)/E130)</f>
        <v/>
      </c>
      <c r="H130" s="8" t="n"/>
      <c r="I130" s="8" t="n">
        <v>125900</v>
      </c>
      <c r="J130" s="6">
        <f>IF(H130=0, "N/A", (I130-H130)/H130)</f>
        <v/>
      </c>
      <c r="K130" s="8">
        <f>B130+E130+H130</f>
        <v/>
      </c>
      <c r="L130" s="8">
        <f>C130+F130+I130</f>
        <v/>
      </c>
      <c r="M130" s="6">
        <f>IF(K130=0, "N/A", (L130-K130)/K130)</f>
        <v/>
      </c>
    </row>
    <row r="131">
      <c r="A131" s="2" t="inlineStr">
        <is>
          <t>Trajes De Baño</t>
        </is>
      </c>
      <c r="B131" s="8" t="n">
        <v>887366.7651</v>
      </c>
      <c r="C131" s="8" t="n">
        <v>992418.0347</v>
      </c>
      <c r="D131" s="6">
        <f>IF(B131=0, "N/A", (C131-B131)/B131)</f>
        <v/>
      </c>
      <c r="E131" s="8" t="n">
        <v>1363946.0339</v>
      </c>
      <c r="F131" s="8" t="n">
        <v>217874.8241</v>
      </c>
      <c r="G131" s="6">
        <f>IF(E131=0, "N/A", (F131-E131)/E131)</f>
        <v/>
      </c>
      <c r="H131" s="8" t="n">
        <v>448750</v>
      </c>
      <c r="I131" s="8" t="n">
        <v>2306215.7585</v>
      </c>
      <c r="J131" s="6">
        <f>IF(H131=0, "N/A", (I131-H131)/H131)</f>
        <v/>
      </c>
      <c r="K131" s="8">
        <f>B131+E131+H131</f>
        <v/>
      </c>
      <c r="L131" s="8">
        <f>C131+F131+I131</f>
        <v/>
      </c>
      <c r="M131" s="6">
        <f>IF(K131=0, "N/A", (L131-K131)/K131)</f>
        <v/>
      </c>
    </row>
    <row r="132">
      <c r="A132" s="5" t="inlineStr">
        <is>
          <t>Totals</t>
        </is>
      </c>
      <c r="B132" s="9">
        <f>SUM($B108:$B131)</f>
        <v/>
      </c>
      <c r="C132" s="9">
        <f>SUM($C108:$C131)</f>
        <v/>
      </c>
      <c r="D132" s="7">
        <f>IF(B132=0, "N/A", (C132-B132)/B132)</f>
        <v/>
      </c>
      <c r="E132" s="9">
        <f>SUM($E108:$E131)</f>
        <v/>
      </c>
      <c r="F132" s="9">
        <f>SUM($F108:$F131)</f>
        <v/>
      </c>
      <c r="G132" s="7">
        <f>IF(E132=0, "N/A", (F132-E132)/E132)</f>
        <v/>
      </c>
      <c r="H132" s="9">
        <f>SUM($H108:$H131)</f>
        <v/>
      </c>
      <c r="I132" s="9">
        <f>SUM($I108:$I131)</f>
        <v/>
      </c>
      <c r="J132" s="7">
        <f>IF(H132=0, "N/A", (I132-H132)/H132)</f>
        <v/>
      </c>
      <c r="K132" s="9">
        <f>SUM($K108:$K131)</f>
        <v/>
      </c>
      <c r="L132" s="9">
        <f>SUM($L108:$L131)</f>
        <v/>
      </c>
      <c r="M132" s="7">
        <f>IF(K132=0, "N/A", (L132-K132)/K132)</f>
        <v/>
      </c>
    </row>
    <row r="135">
      <c r="A135" s="1" t="inlineStr">
        <is>
          <t>YoY Sales Amount Comparison - Branch Group 2</t>
        </is>
      </c>
    </row>
    <row r="136">
      <c r="B136" s="1" t="inlineStr">
        <is>
          <t>VIRREYES</t>
        </is>
      </c>
      <c r="C136" s="1" t="n"/>
      <c r="D136" s="1" t="n"/>
    </row>
    <row r="137">
      <c r="A137" s="1" t="inlineStr">
        <is>
          <t>Familias</t>
        </is>
      </c>
      <c r="B137" s="1" t="n">
        <v>2025</v>
      </c>
      <c r="C137" s="1" t="n">
        <v>2026</v>
      </c>
      <c r="D137" s="1" t="inlineStr">
        <is>
          <t>%</t>
        </is>
      </c>
    </row>
    <row r="138">
      <c r="A138" s="2" t="inlineStr">
        <is>
          <t>Accesorios</t>
        </is>
      </c>
      <c r="B138" s="8" t="n">
        <v>21275</v>
      </c>
      <c r="C138" s="8" t="n">
        <v>43997</v>
      </c>
      <c r="D138" s="6">
        <f>IF(B138=0, "N/A", (C138-B138)/B138)</f>
        <v/>
      </c>
    </row>
    <row r="139">
      <c r="A139" s="2" t="inlineStr">
        <is>
          <t>Bermudas</t>
        </is>
      </c>
      <c r="B139" s="8" t="n">
        <v>159960</v>
      </c>
      <c r="C139" s="8" t="n">
        <v>483400</v>
      </c>
      <c r="D139" s="6">
        <f>IF(B139=0, "N/A", (C139-B139)/B139)</f>
        <v/>
      </c>
    </row>
    <row r="140">
      <c r="A140" s="2" t="inlineStr">
        <is>
          <t>Boxer</t>
        </is>
      </c>
      <c r="B140" s="8" t="n"/>
      <c r="C140" s="8" t="n">
        <v>14500</v>
      </c>
      <c r="D140" s="6">
        <f>IF(B140=0, "N/A", (C140-B140)/B140)</f>
        <v/>
      </c>
    </row>
    <row r="141">
      <c r="A141" s="2" t="inlineStr">
        <is>
          <t>Calzado</t>
        </is>
      </c>
      <c r="B141" s="8" t="n">
        <v>42899</v>
      </c>
      <c r="C141" s="8" t="n"/>
      <c r="D141" s="6">
        <f>IF(B141=0, "N/A", (C141-B141)/B141)</f>
        <v/>
      </c>
    </row>
    <row r="142">
      <c r="A142" s="2" t="inlineStr">
        <is>
          <t>Camisas</t>
        </is>
      </c>
      <c r="B142" s="8" t="n">
        <v>-26900</v>
      </c>
      <c r="C142" s="8" t="n"/>
      <c r="D142" s="6">
        <f>IF(B142=0, "N/A", (C142-B142)/B142)</f>
        <v/>
      </c>
    </row>
    <row r="143">
      <c r="A143" s="2" t="inlineStr">
        <is>
          <t>Chombas</t>
        </is>
      </c>
      <c r="B143" s="8" t="n">
        <v>29990</v>
      </c>
      <c r="C143" s="8" t="n"/>
      <c r="D143" s="6">
        <f>IF(B143=0, "N/A", (C143-B143)/B143)</f>
        <v/>
      </c>
    </row>
    <row r="144">
      <c r="A144" s="2" t="inlineStr">
        <is>
          <t>Jeans</t>
        </is>
      </c>
      <c r="B144" s="8" t="n">
        <v>71980</v>
      </c>
      <c r="C144" s="8" t="n">
        <v>107100</v>
      </c>
      <c r="D144" s="6">
        <f>IF(B144=0, "N/A", (C144-B144)/B144)</f>
        <v/>
      </c>
    </row>
    <row r="145">
      <c r="A145" s="2" t="inlineStr">
        <is>
          <t>Jogging Corto</t>
        </is>
      </c>
      <c r="B145" s="8" t="n">
        <v>79960</v>
      </c>
      <c r="C145" s="8" t="n">
        <v>144000</v>
      </c>
      <c r="D145" s="6">
        <f>IF(B145=0, "N/A", (C145-B145)/B145)</f>
        <v/>
      </c>
    </row>
    <row r="146">
      <c r="A146" s="2" t="inlineStr">
        <is>
          <t>Musculosas</t>
        </is>
      </c>
      <c r="B146" s="8" t="n">
        <v>119200</v>
      </c>
      <c r="C146" s="8" t="n">
        <v>46250</v>
      </c>
      <c r="D146" s="6">
        <f>IF(B146=0, "N/A", (C146-B146)/B146)</f>
        <v/>
      </c>
    </row>
    <row r="147">
      <c r="A147" s="2" t="inlineStr">
        <is>
          <t>Otro</t>
        </is>
      </c>
      <c r="B147" s="8" t="n"/>
      <c r="C147" s="8" t="n"/>
      <c r="D147" s="6">
        <f>IF(B147=0, "N/A", (C147-B147)/B147)</f>
        <v/>
      </c>
    </row>
    <row r="148">
      <c r="A148" s="2" t="inlineStr">
        <is>
          <t>Remeras</t>
        </is>
      </c>
      <c r="B148" s="8" t="n">
        <v>1218837</v>
      </c>
      <c r="C148" s="8" t="n">
        <v>735440</v>
      </c>
      <c r="D148" s="6">
        <f>IF(B148=0, "N/A", (C148-B148)/B148)</f>
        <v/>
      </c>
    </row>
    <row r="149">
      <c r="A149" s="2" t="inlineStr">
        <is>
          <t>Trajes De Baño</t>
        </is>
      </c>
      <c r="B149" s="8" t="n">
        <v>178235</v>
      </c>
      <c r="C149" s="8" t="n">
        <v>238420</v>
      </c>
      <c r="D149" s="6">
        <f>IF(B149=0, "N/A", (C149-B149)/B149)</f>
        <v/>
      </c>
    </row>
    <row r="150">
      <c r="A150" s="5" t="inlineStr">
        <is>
          <t>Totals</t>
        </is>
      </c>
      <c r="B150" s="9">
        <f>SUM($B138:$B149)</f>
        <v/>
      </c>
      <c r="C150" s="9">
        <f>SUM($C138:$C149)</f>
        <v/>
      </c>
      <c r="D150" s="7">
        <f>IF(B150=0, "N/A", (C150-B150)/B150)</f>
        <v/>
      </c>
    </row>
  </sheetData>
  <mergeCells count="16">
    <mergeCell ref="B30:C30"/>
    <mergeCell ref="K30:L30"/>
    <mergeCell ref="E30:F30"/>
    <mergeCell ref="B106:C106"/>
    <mergeCell ref="A135:D135"/>
    <mergeCell ref="E106:F106"/>
    <mergeCell ref="A1:F1"/>
    <mergeCell ref="A105:M105"/>
    <mergeCell ref="B136:C136"/>
    <mergeCell ref="A59:D59"/>
    <mergeCell ref="B60:C60"/>
    <mergeCell ref="A29:M29"/>
    <mergeCell ref="K106:L106"/>
    <mergeCell ref="A77:F77"/>
    <mergeCell ref="H30:I30"/>
    <mergeCell ref="H106:I10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February 01, 2026 to February 28,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19</v>
      </c>
      <c r="C3" s="3" t="n">
        <v>16</v>
      </c>
      <c r="D3" s="3" t="n">
        <v>19</v>
      </c>
      <c r="E3" s="3" t="n">
        <v>1</v>
      </c>
      <c r="F3" s="4">
        <f>B3+C3+D3+E3</f>
        <v/>
      </c>
    </row>
    <row r="4">
      <c r="A4" s="2" t="inlineStr">
        <is>
          <t>Bermudas</t>
        </is>
      </c>
      <c r="B4" s="3" t="n">
        <v>18</v>
      </c>
      <c r="C4" s="3" t="n">
        <v>27</v>
      </c>
      <c r="D4" s="3" t="n">
        <v>84</v>
      </c>
      <c r="E4" s="3" t="n">
        <v>7</v>
      </c>
      <c r="F4" s="4">
        <f>B4+C4+D4+E4</f>
        <v/>
      </c>
    </row>
    <row r="5">
      <c r="A5" s="2" t="inlineStr">
        <is>
          <t>Boxer</t>
        </is>
      </c>
      <c r="B5" s="3" t="n">
        <v>5</v>
      </c>
      <c r="C5" s="3" t="n">
        <v>14</v>
      </c>
      <c r="D5" s="3" t="n">
        <v>59</v>
      </c>
      <c r="E5" s="3" t="n">
        <v>2</v>
      </c>
      <c r="F5" s="4">
        <f>B5+C5+D5+E5</f>
        <v/>
      </c>
    </row>
    <row r="6">
      <c r="A6" s="2" t="inlineStr">
        <is>
          <t>Buzo C Capucha Rustico</t>
        </is>
      </c>
      <c r="B6" s="3" t="n"/>
      <c r="C6" s="3" t="n"/>
      <c r="D6" s="3" t="n">
        <v>2</v>
      </c>
      <c r="E6" s="3" t="n"/>
      <c r="F6" s="4">
        <f>B6+C6+D6+E6</f>
        <v/>
      </c>
    </row>
    <row r="7">
      <c r="A7" s="2" t="inlineStr">
        <is>
          <t>Buzo Cuello Redondo</t>
        </is>
      </c>
      <c r="B7" s="3" t="n"/>
      <c r="C7" s="3" t="n"/>
      <c r="D7" s="3" t="n">
        <v>8</v>
      </c>
      <c r="E7" s="3" t="n"/>
      <c r="F7" s="4">
        <f>B7+C7+D7+E7</f>
        <v/>
      </c>
    </row>
    <row r="8">
      <c r="A8" s="2" t="inlineStr">
        <is>
          <t>Buzos C Capucha</t>
        </is>
      </c>
      <c r="B8" s="3" t="n">
        <v>5</v>
      </c>
      <c r="C8" s="3" t="n">
        <v>1</v>
      </c>
      <c r="D8" s="3" t="n">
        <v>24</v>
      </c>
      <c r="E8" s="3" t="n">
        <v>3</v>
      </c>
      <c r="F8" s="4">
        <f>B8+C8+D8+E8</f>
        <v/>
      </c>
    </row>
    <row r="9">
      <c r="A9" s="2" t="inlineStr">
        <is>
          <t>Buzos Medio Cierre</t>
        </is>
      </c>
      <c r="B9" s="3" t="n">
        <v>3</v>
      </c>
      <c r="C9" s="3" t="n">
        <v>2</v>
      </c>
      <c r="D9" s="3" t="n">
        <v>8</v>
      </c>
      <c r="E9" s="3" t="n"/>
      <c r="F9" s="4">
        <f>B9+C9+D9+E9</f>
        <v/>
      </c>
    </row>
    <row r="10">
      <c r="A10" s="2" t="inlineStr">
        <is>
          <t>Calzado</t>
        </is>
      </c>
      <c r="B10" s="3" t="n">
        <v>7</v>
      </c>
      <c r="C10" s="3" t="n">
        <v>3</v>
      </c>
      <c r="D10" s="3" t="n">
        <v>4</v>
      </c>
      <c r="E10" s="3" t="n"/>
      <c r="F10" s="4">
        <f>B10+C10+D10+E10</f>
        <v/>
      </c>
    </row>
    <row r="11">
      <c r="A11" s="2" t="inlineStr">
        <is>
          <t>Camisas</t>
        </is>
      </c>
      <c r="B11" s="3" t="n">
        <v>3</v>
      </c>
      <c r="C11" s="3" t="n">
        <v>5</v>
      </c>
      <c r="D11" s="3" t="n">
        <v>12</v>
      </c>
      <c r="E11" s="3" t="n"/>
      <c r="F11" s="4">
        <f>B11+C11+D11+E11</f>
        <v/>
      </c>
    </row>
    <row r="12">
      <c r="A12" s="2" t="inlineStr">
        <is>
          <t>Camisetas Manga Larga</t>
        </is>
      </c>
      <c r="B12" s="3" t="n"/>
      <c r="C12" s="3" t="n">
        <v>3</v>
      </c>
      <c r="D12" s="3" t="n">
        <v>9</v>
      </c>
      <c r="E12" s="3" t="n"/>
      <c r="F12" s="4">
        <f>B12+C12+D12+E12</f>
        <v/>
      </c>
    </row>
    <row r="13">
      <c r="A13" s="2" t="inlineStr">
        <is>
          <t>Campera S Capucha</t>
        </is>
      </c>
      <c r="B13" s="3" t="n"/>
      <c r="C13" s="3" t="n">
        <v>3</v>
      </c>
      <c r="D13" s="3" t="n"/>
      <c r="E13" s="3" t="n"/>
      <c r="F13" s="4">
        <f>B13+C13+D13+E13</f>
        <v/>
      </c>
    </row>
    <row r="14">
      <c r="A14" s="2" t="inlineStr">
        <is>
          <t>Camperas Capucha</t>
        </is>
      </c>
      <c r="B14" s="3" t="n">
        <v>1</v>
      </c>
      <c r="C14" s="3" t="n">
        <v>6</v>
      </c>
      <c r="D14" s="3" t="n">
        <v>27</v>
      </c>
      <c r="E14" s="3" t="n">
        <v>3</v>
      </c>
      <c r="F14" s="4">
        <f>B14+C14+D14+E14</f>
        <v/>
      </c>
    </row>
    <row r="15">
      <c r="A15" s="2" t="inlineStr">
        <is>
          <t>Chombas</t>
        </is>
      </c>
      <c r="B15" s="3" t="n">
        <v>39</v>
      </c>
      <c r="C15" s="3" t="n">
        <v>81</v>
      </c>
      <c r="D15" s="3" t="n">
        <v>60</v>
      </c>
      <c r="E15" s="3" t="n">
        <v>2</v>
      </c>
      <c r="F15" s="4">
        <f>B15+C15+D15+E15</f>
        <v/>
      </c>
    </row>
    <row r="16">
      <c r="A16" s="2" t="inlineStr">
        <is>
          <t>Chombas Manga Larga</t>
        </is>
      </c>
      <c r="B16" s="3" t="n">
        <v>2</v>
      </c>
      <c r="C16" s="3" t="n">
        <v>2</v>
      </c>
      <c r="D16" s="3" t="n">
        <v>1</v>
      </c>
      <c r="E16" s="3" t="n"/>
      <c r="F16" s="4">
        <f>B16+C16+D16+E16</f>
        <v/>
      </c>
    </row>
    <row r="17">
      <c r="A17" s="2" t="inlineStr">
        <is>
          <t>Jeans</t>
        </is>
      </c>
      <c r="B17" s="3" t="n">
        <v>41</v>
      </c>
      <c r="C17" s="3" t="n">
        <v>46</v>
      </c>
      <c r="D17" s="3" t="n">
        <v>139</v>
      </c>
      <c r="E17" s="3" t="n">
        <v>9</v>
      </c>
      <c r="F17" s="4">
        <f>B17+C17+D17+E17</f>
        <v/>
      </c>
    </row>
    <row r="18">
      <c r="A18" s="2" t="inlineStr">
        <is>
          <t>Jogging</t>
        </is>
      </c>
      <c r="B18" s="3" t="n"/>
      <c r="C18" s="3" t="n">
        <v>2</v>
      </c>
      <c r="D18" s="3" t="n">
        <v>26</v>
      </c>
      <c r="E18" s="3" t="n"/>
      <c r="F18" s="4">
        <f>B18+C18+D18+E18</f>
        <v/>
      </c>
    </row>
    <row r="19">
      <c r="A19" s="2" t="inlineStr">
        <is>
          <t>Jogging Corto</t>
        </is>
      </c>
      <c r="B19" s="3" t="n">
        <v>1</v>
      </c>
      <c r="C19" s="3" t="n">
        <v>1</v>
      </c>
      <c r="D19" s="3" t="n">
        <v>1</v>
      </c>
      <c r="E19" s="3" t="n"/>
      <c r="F19" s="4">
        <f>B19+C19+D19+E19</f>
        <v/>
      </c>
    </row>
    <row r="20">
      <c r="A20" s="2" t="inlineStr">
        <is>
          <t>Musculosas</t>
        </is>
      </c>
      <c r="B20" s="3" t="n">
        <v>15</v>
      </c>
      <c r="C20" s="3" t="n">
        <v>-2</v>
      </c>
      <c r="D20" s="3" t="n">
        <v>31</v>
      </c>
      <c r="E20" s="3" t="n">
        <v>2</v>
      </c>
      <c r="F20" s="4">
        <f>B20+C20+D20+E20</f>
        <v/>
      </c>
    </row>
    <row r="21">
      <c r="A21" s="2" t="inlineStr">
        <is>
          <t>Remeras</t>
        </is>
      </c>
      <c r="B21" s="3" t="n">
        <v>295</v>
      </c>
      <c r="C21" s="3" t="n">
        <v>405</v>
      </c>
      <c r="D21" s="3" t="n">
        <v>537</v>
      </c>
      <c r="E21" s="3" t="n">
        <v>51</v>
      </c>
      <c r="F21" s="4">
        <f>B21+C21+D21+E21</f>
        <v/>
      </c>
    </row>
    <row r="22">
      <c r="A22" s="2" t="inlineStr">
        <is>
          <t>Sweaters</t>
        </is>
      </c>
      <c r="B22" s="3" t="n"/>
      <c r="C22" s="3" t="n"/>
      <c r="D22" s="3" t="n">
        <v>2</v>
      </c>
      <c r="E22" s="3" t="n"/>
      <c r="F22" s="4">
        <f>B22+C22+D22+E22</f>
        <v/>
      </c>
    </row>
    <row r="23">
      <c r="A23" s="2" t="inlineStr">
        <is>
          <t>Trajes De Baño</t>
        </is>
      </c>
      <c r="B23" s="3" t="n">
        <v>2</v>
      </c>
      <c r="C23" s="3" t="n">
        <v>7</v>
      </c>
      <c r="D23" s="3" t="n">
        <v>42</v>
      </c>
      <c r="E23" s="3" t="n">
        <v>3</v>
      </c>
      <c r="F23" s="4">
        <f>B23+C23+D23+E23</f>
        <v/>
      </c>
    </row>
    <row r="24">
      <c r="A24" s="5" t="inlineStr">
        <is>
          <t>Totals</t>
        </is>
      </c>
      <c r="B24" s="4">
        <f>SUM($B$3:$B$23)</f>
        <v/>
      </c>
      <c r="C24" s="4">
        <f>SUM($C$3:$C$23)</f>
        <v/>
      </c>
      <c r="D24" s="4">
        <f>SUM($D$3:$D$23)</f>
        <v/>
      </c>
      <c r="E24" s="4">
        <f>SUM($E$3:$E$23)</f>
        <v/>
      </c>
      <c r="F24" s="4">
        <f>SUM($F$3:$F$23)</f>
        <v/>
      </c>
    </row>
    <row r="27">
      <c r="A27" s="1" t="inlineStr">
        <is>
          <t>YoY Units Sold Comparison - Branch Group 1</t>
        </is>
      </c>
    </row>
    <row r="28">
      <c r="B28" s="1" t="inlineStr">
        <is>
          <t>LIBERT.R</t>
        </is>
      </c>
      <c r="C28" s="1" t="n"/>
      <c r="D28" s="1" t="n"/>
      <c r="E28" s="1" t="inlineStr">
        <is>
          <t>PASO.R</t>
        </is>
      </c>
      <c r="F28" s="1" t="n"/>
      <c r="G28" s="1" t="n"/>
      <c r="H28" s="1" t="inlineStr">
        <is>
          <t>P.OESTE</t>
        </is>
      </c>
      <c r="I28" s="1" t="n"/>
      <c r="J28" s="1" t="n"/>
      <c r="K28" s="1" t="inlineStr">
        <is>
          <t>Global</t>
        </is>
      </c>
      <c r="L28" s="1" t="n"/>
      <c r="M28" s="1" t="n"/>
    </row>
    <row r="29">
      <c r="A29" s="1" t="inlineStr">
        <is>
          <t>Familias</t>
        </is>
      </c>
      <c r="B29" s="1" t="n">
        <v>2025</v>
      </c>
      <c r="C29" s="1" t="n">
        <v>2026</v>
      </c>
      <c r="D29" s="1" t="inlineStr">
        <is>
          <t>%</t>
        </is>
      </c>
      <c r="E29" s="1" t="n">
        <v>2025</v>
      </c>
      <c r="F29" s="1" t="n">
        <v>2026</v>
      </c>
      <c r="G29" s="1" t="inlineStr">
        <is>
          <t>%</t>
        </is>
      </c>
      <c r="H29" s="1" t="n">
        <v>2025</v>
      </c>
      <c r="I29" s="1" t="n">
        <v>2026</v>
      </c>
      <c r="J29" s="1" t="inlineStr">
        <is>
          <t>%</t>
        </is>
      </c>
      <c r="K29" s="1" t="n">
        <v>2025</v>
      </c>
      <c r="L29" s="1" t="n">
        <v>2026</v>
      </c>
      <c r="M29" s="1" t="inlineStr">
        <is>
          <t>%</t>
        </is>
      </c>
    </row>
    <row r="30">
      <c r="A30" s="2" t="inlineStr">
        <is>
          <t>Accesorios</t>
        </is>
      </c>
      <c r="B30" s="3" t="n">
        <v>12</v>
      </c>
      <c r="C30" s="3" t="n">
        <v>19</v>
      </c>
      <c r="D30" s="6">
        <f>IF(B30=0, "N/A", (C30-B30)/B30)</f>
        <v/>
      </c>
      <c r="E30" s="3" t="n">
        <v>9</v>
      </c>
      <c r="F30" s="3" t="n">
        <v>16</v>
      </c>
      <c r="G30" s="6">
        <f>IF(E30=0, "N/A", (F30-E30)/E30)</f>
        <v/>
      </c>
      <c r="H30" s="3" t="n">
        <v>36</v>
      </c>
      <c r="I30" s="3" t="n">
        <v>19</v>
      </c>
      <c r="J30" s="6">
        <f>IF(H30=0, "N/A", (I30-H30)/H30)</f>
        <v/>
      </c>
      <c r="K30" s="3">
        <f>B30+E30+H30</f>
        <v/>
      </c>
      <c r="L30" s="3">
        <f>C30+F30+I30</f>
        <v/>
      </c>
      <c r="M30" s="6">
        <f>IF(K30=0, "N/A", (L30-K30)/K30)</f>
        <v/>
      </c>
    </row>
    <row r="31">
      <c r="A31" s="2" t="inlineStr">
        <is>
          <t>Bermudas</t>
        </is>
      </c>
      <c r="B31" s="3" t="n">
        <v>39</v>
      </c>
      <c r="C31" s="3" t="n">
        <v>18</v>
      </c>
      <c r="D31" s="6">
        <f>IF(B31=0, "N/A", (C31-B31)/B31)</f>
        <v/>
      </c>
      <c r="E31" s="3" t="n">
        <v>44</v>
      </c>
      <c r="F31" s="3" t="n">
        <v>27</v>
      </c>
      <c r="G31" s="6">
        <f>IF(E31=0, "N/A", (F31-E31)/E31)</f>
        <v/>
      </c>
      <c r="H31" s="3" t="n">
        <v>70</v>
      </c>
      <c r="I31" s="3" t="n">
        <v>84</v>
      </c>
      <c r="J31" s="6">
        <f>IF(H31=0, "N/A", (I31-H31)/H31)</f>
        <v/>
      </c>
      <c r="K31" s="3">
        <f>B31+E31+H31</f>
        <v/>
      </c>
      <c r="L31" s="3">
        <f>C31+F31+I31</f>
        <v/>
      </c>
      <c r="M31" s="6">
        <f>IF(K31=0, "N/A", (L31-K31)/K31)</f>
        <v/>
      </c>
    </row>
    <row r="32">
      <c r="A32" s="2" t="inlineStr">
        <is>
          <t>Boxer</t>
        </is>
      </c>
      <c r="B32" s="3" t="n"/>
      <c r="C32" s="3" t="n">
        <v>5</v>
      </c>
      <c r="D32" s="6">
        <f>IF(B32=0, "N/A", (C32-B32)/B32)</f>
        <v/>
      </c>
      <c r="E32" s="3" t="n">
        <v>16</v>
      </c>
      <c r="F32" s="3" t="n">
        <v>14</v>
      </c>
      <c r="G32" s="6">
        <f>IF(E32=0, "N/A", (F32-E32)/E32)</f>
        <v/>
      </c>
      <c r="H32" s="3" t="n">
        <v>77</v>
      </c>
      <c r="I32" s="3" t="n">
        <v>59</v>
      </c>
      <c r="J32" s="6">
        <f>IF(H32=0, "N/A", (I32-H32)/H32)</f>
        <v/>
      </c>
      <c r="K32" s="3">
        <f>B32+E32+H32</f>
        <v/>
      </c>
      <c r="L32" s="3">
        <f>C32+F32+I32</f>
        <v/>
      </c>
      <c r="M32" s="6">
        <f>IF(K32=0, "N/A", (L32-K32)/K32)</f>
        <v/>
      </c>
    </row>
    <row r="33">
      <c r="A33" s="2" t="inlineStr">
        <is>
          <t>Buzo C Capucha Rustico</t>
        </is>
      </c>
      <c r="B33" s="3" t="n"/>
      <c r="C33" s="3" t="n"/>
      <c r="D33" s="6">
        <f>IF(B33=0, "N/A", (C33-B33)/B33)</f>
        <v/>
      </c>
      <c r="E33" s="3" t="n">
        <v>1</v>
      </c>
      <c r="F33" s="3" t="n"/>
      <c r="G33" s="6">
        <f>IF(E33=0, "N/A", (F33-E33)/E33)</f>
        <v/>
      </c>
      <c r="H33" s="3" t="n"/>
      <c r="I33" s="3" t="n">
        <v>2</v>
      </c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Buzo Cuello Redondo</t>
        </is>
      </c>
      <c r="B34" s="3" t="n">
        <v>5</v>
      </c>
      <c r="C34" s="3" t="n"/>
      <c r="D34" s="6">
        <f>IF(B34=0, "N/A", (C34-B34)/B34)</f>
        <v/>
      </c>
      <c r="E34" s="3" t="n">
        <v>7</v>
      </c>
      <c r="F34" s="3" t="n"/>
      <c r="G34" s="6">
        <f>IF(E34=0, "N/A", (F34-E34)/E34)</f>
        <v/>
      </c>
      <c r="H34" s="3" t="n">
        <v>20</v>
      </c>
      <c r="I34" s="3" t="n">
        <v>8</v>
      </c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Buzos C Capucha</t>
        </is>
      </c>
      <c r="B35" s="3" t="n">
        <v>1</v>
      </c>
      <c r="C35" s="3" t="n">
        <v>5</v>
      </c>
      <c r="D35" s="6">
        <f>IF(B35=0, "N/A", (C35-B35)/B35)</f>
        <v/>
      </c>
      <c r="E35" s="3" t="n">
        <v>4</v>
      </c>
      <c r="F35" s="3" t="n">
        <v>1</v>
      </c>
      <c r="G35" s="6">
        <f>IF(E35=0, "N/A", (F35-E35)/E35)</f>
        <v/>
      </c>
      <c r="H35" s="3" t="n">
        <v>13</v>
      </c>
      <c r="I35" s="3" t="n">
        <v>24</v>
      </c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Buzos C Redondo Rustico</t>
        </is>
      </c>
      <c r="B36" s="3" t="n">
        <v>3</v>
      </c>
      <c r="C36" s="3" t="n"/>
      <c r="D36" s="6">
        <f>IF(B36=0, "N/A", (C36-B36)/B36)</f>
        <v/>
      </c>
      <c r="E36" s="3" t="n">
        <v>1</v>
      </c>
      <c r="F36" s="3" t="n"/>
      <c r="G36" s="6">
        <f>IF(E36=0, "N/A", (F36-E36)/E36)</f>
        <v/>
      </c>
      <c r="H36" s="3" t="n">
        <v>1</v>
      </c>
      <c r="I36" s="3" t="n"/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Buzos Medio Cierre</t>
        </is>
      </c>
      <c r="B37" s="3" t="n"/>
      <c r="C37" s="3" t="n">
        <v>3</v>
      </c>
      <c r="D37" s="6">
        <f>IF(B37=0, "N/A", (C37-B37)/B37)</f>
        <v/>
      </c>
      <c r="E37" s="3" t="n"/>
      <c r="F37" s="3" t="n">
        <v>2</v>
      </c>
      <c r="G37" s="6">
        <f>IF(E37=0, "N/A", (F37-E37)/E37)</f>
        <v/>
      </c>
      <c r="H37" s="3" t="n"/>
      <c r="I37" s="3" t="n">
        <v>8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Calzado</t>
        </is>
      </c>
      <c r="B38" s="3" t="n">
        <v>9</v>
      </c>
      <c r="C38" s="3" t="n">
        <v>7</v>
      </c>
      <c r="D38" s="6">
        <f>IF(B38=0, "N/A", (C38-B38)/B38)</f>
        <v/>
      </c>
      <c r="E38" s="3" t="n">
        <v>8</v>
      </c>
      <c r="F38" s="3" t="n">
        <v>3</v>
      </c>
      <c r="G38" s="6">
        <f>IF(E38=0, "N/A", (F38-E38)/E38)</f>
        <v/>
      </c>
      <c r="H38" s="3" t="n">
        <v>8</v>
      </c>
      <c r="I38" s="3" t="n">
        <v>4</v>
      </c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Camisas</t>
        </is>
      </c>
      <c r="B39" s="3" t="n">
        <v>5</v>
      </c>
      <c r="C39" s="3" t="n">
        <v>3</v>
      </c>
      <c r="D39" s="6">
        <f>IF(B39=0, "N/A", (C39-B39)/B39)</f>
        <v/>
      </c>
      <c r="E39" s="3" t="n">
        <v>1</v>
      </c>
      <c r="F39" s="3" t="n">
        <v>5</v>
      </c>
      <c r="G39" s="6">
        <f>IF(E39=0, "N/A", (F39-E39)/E39)</f>
        <v/>
      </c>
      <c r="H39" s="3" t="n">
        <v>4</v>
      </c>
      <c r="I39" s="3" t="n">
        <v>12</v>
      </c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Camisetas Manga Larga</t>
        </is>
      </c>
      <c r="B40" s="3" t="n"/>
      <c r="C40" s="3" t="n"/>
      <c r="D40" s="6">
        <f>IF(B40=0, "N/A", (C40-B40)/B40)</f>
        <v/>
      </c>
      <c r="E40" s="3" t="n">
        <v>1</v>
      </c>
      <c r="F40" s="3" t="n">
        <v>3</v>
      </c>
      <c r="G40" s="6">
        <f>IF(E40=0, "N/A", (F40-E40)/E40)</f>
        <v/>
      </c>
      <c r="H40" s="3" t="n">
        <v>1</v>
      </c>
      <c r="I40" s="3" t="n">
        <v>9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Campera S Capucha</t>
        </is>
      </c>
      <c r="B41" s="3" t="n"/>
      <c r="C41" s="3" t="n"/>
      <c r="D41" s="6">
        <f>IF(B41=0, "N/A", (C41-B41)/B41)</f>
        <v/>
      </c>
      <c r="E41" s="3" t="n"/>
      <c r="F41" s="3" t="n">
        <v>3</v>
      </c>
      <c r="G41" s="6">
        <f>IF(E41=0, "N/A", (F41-E41)/E41)</f>
        <v/>
      </c>
      <c r="H41" s="3" t="n">
        <v>1</v>
      </c>
      <c r="I41" s="3" t="n"/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Camperas Capucha</t>
        </is>
      </c>
      <c r="B42" s="3" t="n"/>
      <c r="C42" s="3" t="n">
        <v>1</v>
      </c>
      <c r="D42" s="6">
        <f>IF(B42=0, "N/A", (C42-B42)/B42)</f>
        <v/>
      </c>
      <c r="E42" s="3" t="n"/>
      <c r="F42" s="3" t="n">
        <v>6</v>
      </c>
      <c r="G42" s="6">
        <f>IF(E42=0, "N/A", (F42-E42)/E42)</f>
        <v/>
      </c>
      <c r="H42" s="3" t="n">
        <v>14</v>
      </c>
      <c r="I42" s="3" t="n">
        <v>27</v>
      </c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Chombas</t>
        </is>
      </c>
      <c r="B43" s="3" t="n">
        <v>54</v>
      </c>
      <c r="C43" s="3" t="n">
        <v>39</v>
      </c>
      <c r="D43" s="6">
        <f>IF(B43=0, "N/A", (C43-B43)/B43)</f>
        <v/>
      </c>
      <c r="E43" s="3" t="n">
        <v>56</v>
      </c>
      <c r="F43" s="3" t="n">
        <v>81</v>
      </c>
      <c r="G43" s="6">
        <f>IF(E43=0, "N/A", (F43-E43)/E43)</f>
        <v/>
      </c>
      <c r="H43" s="3" t="n">
        <v>19</v>
      </c>
      <c r="I43" s="3" t="n">
        <v>60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Chombas Manga Larga</t>
        </is>
      </c>
      <c r="B44" s="3" t="n"/>
      <c r="C44" s="3" t="n">
        <v>2</v>
      </c>
      <c r="D44" s="6">
        <f>IF(B44=0, "N/A", (C44-B44)/B44)</f>
        <v/>
      </c>
      <c r="E44" s="3" t="n"/>
      <c r="F44" s="3" t="n">
        <v>2</v>
      </c>
      <c r="G44" s="6">
        <f>IF(E44=0, "N/A", (F44-E44)/E44)</f>
        <v/>
      </c>
      <c r="H44" s="3" t="n"/>
      <c r="I44" s="3" t="n">
        <v>1</v>
      </c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Jeans</t>
        </is>
      </c>
      <c r="B45" s="3" t="n">
        <v>16</v>
      </c>
      <c r="C45" s="3" t="n">
        <v>41</v>
      </c>
      <c r="D45" s="6">
        <f>IF(B45=0, "N/A", (C45-B45)/B45)</f>
        <v/>
      </c>
      <c r="E45" s="3" t="n">
        <v>54</v>
      </c>
      <c r="F45" s="3" t="n">
        <v>46</v>
      </c>
      <c r="G45" s="6">
        <f>IF(E45=0, "N/A", (F45-E45)/E45)</f>
        <v/>
      </c>
      <c r="H45" s="3" t="n">
        <v>108</v>
      </c>
      <c r="I45" s="3" t="n">
        <v>139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Jogging</t>
        </is>
      </c>
      <c r="B46" s="3" t="n">
        <v>1</v>
      </c>
      <c r="C46" s="3" t="n"/>
      <c r="D46" s="6">
        <f>IF(B46=0, "N/A", (C46-B46)/B46)</f>
        <v/>
      </c>
      <c r="E46" s="3" t="n">
        <v>1</v>
      </c>
      <c r="F46" s="3" t="n">
        <v>2</v>
      </c>
      <c r="G46" s="6">
        <f>IF(E46=0, "N/A", (F46-E46)/E46)</f>
        <v/>
      </c>
      <c r="H46" s="3" t="n">
        <v>4</v>
      </c>
      <c r="I46" s="3" t="n">
        <v>26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Jogging Corto</t>
        </is>
      </c>
      <c r="B47" s="3" t="n"/>
      <c r="C47" s="3" t="n">
        <v>1</v>
      </c>
      <c r="D47" s="6">
        <f>IF(B47=0, "N/A", (C47-B47)/B47)</f>
        <v/>
      </c>
      <c r="E47" s="3" t="n"/>
      <c r="F47" s="3" t="n">
        <v>1</v>
      </c>
      <c r="G47" s="6">
        <f>IF(E47=0, "N/A", (F47-E47)/E47)</f>
        <v/>
      </c>
      <c r="H47" s="3" t="n"/>
      <c r="I47" s="3" t="n">
        <v>1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Musculosas</t>
        </is>
      </c>
      <c r="B48" s="3" t="n">
        <v>23</v>
      </c>
      <c r="C48" s="3" t="n">
        <v>15</v>
      </c>
      <c r="D48" s="6">
        <f>IF(B48=0, "N/A", (C48-B48)/B48)</f>
        <v/>
      </c>
      <c r="E48" s="3" t="n">
        <v>6</v>
      </c>
      <c r="F48" s="3" t="n">
        <v>-2</v>
      </c>
      <c r="G48" s="6">
        <f>IF(E48=0, "N/A", (F48-E48)/E48)</f>
        <v/>
      </c>
      <c r="H48" s="3" t="n">
        <v>1</v>
      </c>
      <c r="I48" s="3" t="n">
        <v>31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Otro</t>
        </is>
      </c>
      <c r="B49" s="3" t="n">
        <v>6</v>
      </c>
      <c r="C49" s="3" t="n"/>
      <c r="D49" s="6">
        <f>IF(B49=0, "N/A", (C49-B49)/B49)</f>
        <v/>
      </c>
      <c r="E49" s="3" t="n">
        <v>-1</v>
      </c>
      <c r="F49" s="3" t="n"/>
      <c r="G49" s="6">
        <f>IF(E49=0, "N/A", (F49-E49)/E49)</f>
        <v/>
      </c>
      <c r="H49" s="3" t="n"/>
      <c r="I49" s="3" t="n"/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Remeras</t>
        </is>
      </c>
      <c r="B50" s="3" t="n">
        <v>183</v>
      </c>
      <c r="C50" s="3" t="n">
        <v>295</v>
      </c>
      <c r="D50" s="6">
        <f>IF(B50=0, "N/A", (C50-B50)/B50)</f>
        <v/>
      </c>
      <c r="E50" s="3" t="n">
        <v>338</v>
      </c>
      <c r="F50" s="3" t="n">
        <v>405</v>
      </c>
      <c r="G50" s="6">
        <f>IF(E50=0, "N/A", (F50-E50)/E50)</f>
        <v/>
      </c>
      <c r="H50" s="3" t="n">
        <v>806</v>
      </c>
      <c r="I50" s="3" t="n">
        <v>537</v>
      </c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Sweaters</t>
        </is>
      </c>
      <c r="B51" s="3" t="n"/>
      <c r="C51" s="3" t="n"/>
      <c r="D51" s="6">
        <f>IF(B51=0, "N/A", (C51-B51)/B51)</f>
        <v/>
      </c>
      <c r="E51" s="3" t="n"/>
      <c r="F51" s="3" t="n"/>
      <c r="G51" s="6">
        <f>IF(E51=0, "N/A", (F51-E51)/E51)</f>
        <v/>
      </c>
      <c r="H51" s="3" t="n">
        <v>4</v>
      </c>
      <c r="I51" s="3" t="n">
        <v>2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Trajes De Baño</t>
        </is>
      </c>
      <c r="B52" s="3" t="n">
        <v>17</v>
      </c>
      <c r="C52" s="3" t="n">
        <v>2</v>
      </c>
      <c r="D52" s="6">
        <f>IF(B52=0, "N/A", (C52-B52)/B52)</f>
        <v/>
      </c>
      <c r="E52" s="3" t="n">
        <v>8</v>
      </c>
      <c r="F52" s="3" t="n">
        <v>7</v>
      </c>
      <c r="G52" s="6">
        <f>IF(E52=0, "N/A", (F52-E52)/E52)</f>
        <v/>
      </c>
      <c r="H52" s="3" t="n">
        <v>7</v>
      </c>
      <c r="I52" s="3" t="n">
        <v>42</v>
      </c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5" t="inlineStr">
        <is>
          <t>Totals</t>
        </is>
      </c>
      <c r="B53" s="4">
        <f>SUM($B30:$B52)</f>
        <v/>
      </c>
      <c r="C53" s="4">
        <f>SUM($C30:$C52)</f>
        <v/>
      </c>
      <c r="D53" s="7">
        <f>IF(B53=0, "N/A", (C53-B53)/B53)</f>
        <v/>
      </c>
      <c r="E53" s="4">
        <f>SUM($E30:$E52)</f>
        <v/>
      </c>
      <c r="F53" s="4">
        <f>SUM($F30:$F52)</f>
        <v/>
      </c>
      <c r="G53" s="7">
        <f>IF(E53=0, "N/A", (F53-E53)/E53)</f>
        <v/>
      </c>
      <c r="H53" s="4">
        <f>SUM($H30:$H52)</f>
        <v/>
      </c>
      <c r="I53" s="4">
        <f>SUM($I30:$I52)</f>
        <v/>
      </c>
      <c r="J53" s="7">
        <f>IF(H53=0, "N/A", (I53-H53)/H53)</f>
        <v/>
      </c>
      <c r="K53" s="4">
        <f>SUM($K30:$K52)</f>
        <v/>
      </c>
      <c r="L53" s="4">
        <f>SUM($L30:$L52)</f>
        <v/>
      </c>
      <c r="M53" s="7">
        <f>IF(K53=0, "N/A", (L53-K53)/K53)</f>
        <v/>
      </c>
    </row>
    <row r="56">
      <c r="A56" s="1" t="inlineStr">
        <is>
          <t>YoY Units Sold Comparison - Branch Group 2</t>
        </is>
      </c>
    </row>
    <row r="57">
      <c r="B57" s="1" t="inlineStr">
        <is>
          <t>VIRREYES</t>
        </is>
      </c>
      <c r="C57" s="1" t="n"/>
      <c r="D57" s="1" t="n"/>
    </row>
    <row r="58">
      <c r="A58" s="1" t="inlineStr">
        <is>
          <t>Familias</t>
        </is>
      </c>
      <c r="B58" s="1" t="n">
        <v>2025</v>
      </c>
      <c r="C58" s="1" t="n">
        <v>2026</v>
      </c>
      <c r="D58" s="1" t="inlineStr">
        <is>
          <t>%</t>
        </is>
      </c>
    </row>
    <row r="59">
      <c r="A59" s="2" t="inlineStr">
        <is>
          <t>Accesorios</t>
        </is>
      </c>
      <c r="B59" s="3" t="n">
        <v>3</v>
      </c>
      <c r="C59" s="3" t="n">
        <v>1</v>
      </c>
      <c r="D59" s="6">
        <f>IF(B59=0, "N/A", (C59-B59)/B59)</f>
        <v/>
      </c>
    </row>
    <row r="60">
      <c r="A60" s="2" t="inlineStr">
        <is>
          <t>Bermudas</t>
        </is>
      </c>
      <c r="B60" s="3" t="n">
        <v>7</v>
      </c>
      <c r="C60" s="3" t="n">
        <v>7</v>
      </c>
      <c r="D60" s="6">
        <f>IF(B60=0, "N/A", (C60-B60)/B60)</f>
        <v/>
      </c>
    </row>
    <row r="61">
      <c r="A61" s="2" t="inlineStr">
        <is>
          <t>Boxer</t>
        </is>
      </c>
      <c r="B61" s="3" t="n">
        <v>1</v>
      </c>
      <c r="C61" s="3" t="n">
        <v>2</v>
      </c>
      <c r="D61" s="6">
        <f>IF(B61=0, "N/A", (C61-B61)/B61)</f>
        <v/>
      </c>
    </row>
    <row r="62">
      <c r="A62" s="2" t="inlineStr">
        <is>
          <t>Buzo Cuello Redondo</t>
        </is>
      </c>
      <c r="B62" s="3" t="n"/>
      <c r="C62" s="3" t="n"/>
      <c r="D62" s="6">
        <f>IF(B62=0, "N/A", (C62-B62)/B62)</f>
        <v/>
      </c>
    </row>
    <row r="63">
      <c r="A63" s="2" t="inlineStr">
        <is>
          <t>Buzos C Capucha</t>
        </is>
      </c>
      <c r="B63" s="3" t="n"/>
      <c r="C63" s="3" t="n">
        <v>3</v>
      </c>
      <c r="D63" s="6">
        <f>IF(B63=0, "N/A", (C63-B63)/B63)</f>
        <v/>
      </c>
    </row>
    <row r="64">
      <c r="A64" s="2" t="inlineStr">
        <is>
          <t>Calzado</t>
        </is>
      </c>
      <c r="B64" s="3" t="n">
        <v>7</v>
      </c>
      <c r="C64" s="3" t="n"/>
      <c r="D64" s="6">
        <f>IF(B64=0, "N/A", (C64-B64)/B64)</f>
        <v/>
      </c>
    </row>
    <row r="65">
      <c r="A65" s="2" t="inlineStr">
        <is>
          <t>Camisas</t>
        </is>
      </c>
      <c r="B65" s="3" t="n">
        <v>4</v>
      </c>
      <c r="C65" s="3" t="n"/>
      <c r="D65" s="6">
        <f>IF(B65=0, "N/A", (C65-B65)/B65)</f>
        <v/>
      </c>
    </row>
    <row r="66">
      <c r="A66" s="2" t="inlineStr">
        <is>
          <t>Camperas Capucha</t>
        </is>
      </c>
      <c r="B66" s="3" t="n"/>
      <c r="C66" s="3" t="n">
        <v>3</v>
      </c>
      <c r="D66" s="6">
        <f>IF(B66=0, "N/A", (C66-B66)/B66)</f>
        <v/>
      </c>
    </row>
    <row r="67">
      <c r="A67" s="2" t="inlineStr">
        <is>
          <t>Chombas</t>
        </is>
      </c>
      <c r="B67" s="3" t="n">
        <v>3</v>
      </c>
      <c r="C67" s="3" t="n">
        <v>2</v>
      </c>
      <c r="D67" s="6">
        <f>IF(B67=0, "N/A", (C67-B67)/B67)</f>
        <v/>
      </c>
    </row>
    <row r="68">
      <c r="A68" s="2" t="inlineStr">
        <is>
          <t>Jeans</t>
        </is>
      </c>
      <c r="B68" s="3" t="n">
        <v>3</v>
      </c>
      <c r="C68" s="3" t="n">
        <v>9</v>
      </c>
      <c r="D68" s="6">
        <f>IF(B68=0, "N/A", (C68-B68)/B68)</f>
        <v/>
      </c>
    </row>
    <row r="69">
      <c r="A69" s="2" t="inlineStr">
        <is>
          <t>Jogging Corto</t>
        </is>
      </c>
      <c r="B69" s="3" t="n">
        <v>1</v>
      </c>
      <c r="C69" s="3" t="n"/>
      <c r="D69" s="6">
        <f>IF(B69=0, "N/A", (C69-B69)/B69)</f>
        <v/>
      </c>
    </row>
    <row r="70">
      <c r="A70" s="2" t="inlineStr">
        <is>
          <t>Musculosas</t>
        </is>
      </c>
      <c r="B70" s="3" t="n">
        <v>1</v>
      </c>
      <c r="C70" s="3" t="n">
        <v>2</v>
      </c>
      <c r="D70" s="6">
        <f>IF(B70=0, "N/A", (C70-B70)/B70)</f>
        <v/>
      </c>
    </row>
    <row r="71">
      <c r="A71" s="2" t="inlineStr">
        <is>
          <t>Otro</t>
        </is>
      </c>
      <c r="B71" s="3" t="n">
        <v>1</v>
      </c>
      <c r="C71" s="3" t="n"/>
      <c r="D71" s="6">
        <f>IF(B71=0, "N/A", (C71-B71)/B71)</f>
        <v/>
      </c>
    </row>
    <row r="72">
      <c r="A72" s="2" t="inlineStr">
        <is>
          <t>Remeras</t>
        </is>
      </c>
      <c r="B72" s="3" t="n">
        <v>61</v>
      </c>
      <c r="C72" s="3" t="n">
        <v>51</v>
      </c>
      <c r="D72" s="6">
        <f>IF(B72=0, "N/A", (C72-B72)/B72)</f>
        <v/>
      </c>
    </row>
    <row r="73">
      <c r="A73" s="2" t="inlineStr">
        <is>
          <t>Trajes De Baño</t>
        </is>
      </c>
      <c r="B73" s="3" t="n">
        <v>1</v>
      </c>
      <c r="C73" s="3" t="n">
        <v>3</v>
      </c>
      <c r="D73" s="6">
        <f>IF(B73=0, "N/A", (C73-B73)/B73)</f>
        <v/>
      </c>
    </row>
    <row r="74">
      <c r="A74" s="5" t="inlineStr">
        <is>
          <t>Totals</t>
        </is>
      </c>
      <c r="B74" s="4">
        <f>SUM($B59:$B73)</f>
        <v/>
      </c>
      <c r="C74" s="4">
        <f>SUM($C59:$C73)</f>
        <v/>
      </c>
      <c r="D74" s="7">
        <f>IF(B74=0, "N/A", (C74-B74)/B74)</f>
        <v/>
      </c>
    </row>
    <row r="77">
      <c r="A77" s="1" t="inlineStr">
        <is>
          <t>Sales Amount from February 01, 2026 to February 28, 2026</t>
        </is>
      </c>
    </row>
    <row r="78">
      <c r="A78" s="1" t="inlineStr">
        <is>
          <t>Familias</t>
        </is>
      </c>
      <c r="B78" s="1" t="inlineStr">
        <is>
          <t>LIBERT.R</t>
        </is>
      </c>
      <c r="C78" s="1" t="inlineStr">
        <is>
          <t>PASO.R</t>
        </is>
      </c>
      <c r="D78" s="1" t="inlineStr">
        <is>
          <t>P.OESTE</t>
        </is>
      </c>
      <c r="E78" s="1" t="inlineStr">
        <is>
          <t>VIRREYES</t>
        </is>
      </c>
      <c r="F78" s="1" t="inlineStr">
        <is>
          <t>Totals</t>
        </is>
      </c>
    </row>
    <row r="79">
      <c r="A79" s="2" t="inlineStr">
        <is>
          <t>Accesorios</t>
        </is>
      </c>
      <c r="B79" s="8" t="n">
        <v>256355.7517</v>
      </c>
      <c r="C79" s="8" t="n">
        <v>358150</v>
      </c>
      <c r="D79" s="8" t="n">
        <v>364254.235</v>
      </c>
      <c r="E79" s="8" t="n">
        <v>4499.1</v>
      </c>
      <c r="F79" s="9">
        <f>B79+C79+D79+E79</f>
        <v/>
      </c>
    </row>
    <row r="80">
      <c r="A80" s="2" t="inlineStr">
        <is>
          <t>Bermudas</t>
        </is>
      </c>
      <c r="B80" s="8" t="n">
        <v>560560.0034</v>
      </c>
      <c r="C80" s="8" t="n">
        <v>828510.6886</v>
      </c>
      <c r="D80" s="8" t="n">
        <v>2564782.8293</v>
      </c>
      <c r="E80" s="8" t="n">
        <v>246005.0005</v>
      </c>
      <c r="F80" s="9">
        <f>B80+C80+D80+E80</f>
        <v/>
      </c>
    </row>
    <row r="81">
      <c r="A81" s="2" t="inlineStr">
        <is>
          <t>Boxer</t>
        </is>
      </c>
      <c r="B81" s="8" t="n">
        <v>68488.577</v>
      </c>
      <c r="C81" s="8" t="n">
        <v>203000</v>
      </c>
      <c r="D81" s="8" t="n">
        <v>966270.9443</v>
      </c>
      <c r="E81" s="8" t="n">
        <v>29000</v>
      </c>
      <c r="F81" s="9">
        <f>B81+C81+D81+E81</f>
        <v/>
      </c>
    </row>
    <row r="82">
      <c r="A82" s="2" t="inlineStr">
        <is>
          <t>Buzo C Capucha Rustico</t>
        </is>
      </c>
      <c r="B82" s="8" t="n"/>
      <c r="C82" s="8" t="n"/>
      <c r="D82" s="8" t="n">
        <v>113900</v>
      </c>
      <c r="E82" s="8" t="n"/>
      <c r="F82" s="9">
        <f>B82+C82+D82+E82</f>
        <v/>
      </c>
    </row>
    <row r="83">
      <c r="A83" s="2" t="inlineStr">
        <is>
          <t>Buzo Cuello Redondo</t>
        </is>
      </c>
      <c r="B83" s="8" t="n"/>
      <c r="C83" s="8" t="n"/>
      <c r="D83" s="8" t="n">
        <v>355200</v>
      </c>
      <c r="E83" s="8" t="n"/>
      <c r="F83" s="9">
        <f>B83+C83+D83+E83</f>
        <v/>
      </c>
    </row>
    <row r="84">
      <c r="A84" s="2" t="inlineStr">
        <is>
          <t>Buzos C Capucha</t>
        </is>
      </c>
      <c r="B84" s="8" t="n">
        <v>266100</v>
      </c>
      <c r="C84" s="8" t="n">
        <v>38900</v>
      </c>
      <c r="D84" s="8" t="n">
        <v>1311854.164</v>
      </c>
      <c r="E84" s="8" t="n">
        <v>131319.9993</v>
      </c>
      <c r="F84" s="9">
        <f>B84+C84+D84+E84</f>
        <v/>
      </c>
    </row>
    <row r="85">
      <c r="A85" s="2" t="inlineStr">
        <is>
          <t>Buzos Medio Cierre</t>
        </is>
      </c>
      <c r="B85" s="8" t="n">
        <v>118800</v>
      </c>
      <c r="C85" s="8" t="n">
        <v>73500</v>
      </c>
      <c r="D85" s="8" t="n">
        <v>385200</v>
      </c>
      <c r="E85" s="8" t="n"/>
      <c r="F85" s="9">
        <f>B85+C85+D85+E85</f>
        <v/>
      </c>
    </row>
    <row r="86">
      <c r="A86" s="2" t="inlineStr">
        <is>
          <t>Calzado</t>
        </is>
      </c>
      <c r="B86" s="8" t="n">
        <v>95300</v>
      </c>
      <c r="C86" s="8" t="n">
        <v>35700</v>
      </c>
      <c r="D86" s="8" t="n">
        <v>79960</v>
      </c>
      <c r="E86" s="8" t="n"/>
      <c r="F86" s="9">
        <f>B86+C86+D86+E86</f>
        <v/>
      </c>
    </row>
    <row r="87">
      <c r="A87" s="2" t="inlineStr">
        <is>
          <t>Camisas</t>
        </is>
      </c>
      <c r="B87" s="8" t="n">
        <v>65400</v>
      </c>
      <c r="C87" s="8" t="n">
        <v>165300</v>
      </c>
      <c r="D87" s="8" t="n">
        <v>281167.1174</v>
      </c>
      <c r="E87" s="8" t="n"/>
      <c r="F87" s="9">
        <f>B87+C87+D87+E87</f>
        <v/>
      </c>
    </row>
    <row r="88">
      <c r="A88" s="2" t="inlineStr">
        <is>
          <t>Camisetas Manga Larga</t>
        </is>
      </c>
      <c r="B88" s="8" t="n"/>
      <c r="C88" s="8" t="n">
        <v>78700</v>
      </c>
      <c r="D88" s="8" t="n">
        <v>224100</v>
      </c>
      <c r="E88" s="8" t="n"/>
      <c r="F88" s="9">
        <f>B88+C88+D88+E88</f>
        <v/>
      </c>
    </row>
    <row r="89">
      <c r="A89" s="2" t="inlineStr">
        <is>
          <t>Campera S Capucha</t>
        </is>
      </c>
      <c r="B89" s="8" t="n"/>
      <c r="C89" s="8" t="n">
        <v>89700</v>
      </c>
      <c r="D89" s="8" t="n"/>
      <c r="E89" s="8" t="n"/>
      <c r="F89" s="9">
        <f>B89+C89+D89+E89</f>
        <v/>
      </c>
    </row>
    <row r="90">
      <c r="A90" s="2" t="inlineStr">
        <is>
          <t>Camperas Capucha</t>
        </is>
      </c>
      <c r="B90" s="8" t="n">
        <v>49900</v>
      </c>
      <c r="C90" s="8" t="n">
        <v>289400</v>
      </c>
      <c r="D90" s="8" t="n">
        <v>1627692.188</v>
      </c>
      <c r="E90" s="8" t="n">
        <v>144710</v>
      </c>
      <c r="F90" s="9">
        <f>B90+C90+D90+E90</f>
        <v/>
      </c>
    </row>
    <row r="91">
      <c r="A91" s="2" t="inlineStr">
        <is>
          <t>Chombas</t>
        </is>
      </c>
      <c r="B91" s="8" t="n">
        <v>871690.029</v>
      </c>
      <c r="C91" s="8" t="n">
        <v>1901930.6999</v>
      </c>
      <c r="D91" s="8" t="n">
        <v>1758047.2089</v>
      </c>
      <c r="E91" s="8" t="n">
        <v>56949.9987</v>
      </c>
      <c r="F91" s="9">
        <f>B91+C91+D91+E91</f>
        <v/>
      </c>
    </row>
    <row r="92">
      <c r="A92" s="2" t="inlineStr">
        <is>
          <t>Chombas Manga Larga</t>
        </is>
      </c>
      <c r="B92" s="8" t="n">
        <v>71800</v>
      </c>
      <c r="C92" s="8" t="n">
        <v>71800</v>
      </c>
      <c r="D92" s="8" t="n">
        <v>25900</v>
      </c>
      <c r="E92" s="8" t="n"/>
      <c r="F92" s="9">
        <f>B92+C92+D92+E92</f>
        <v/>
      </c>
    </row>
    <row r="93">
      <c r="A93" s="2" t="inlineStr">
        <is>
          <t>Jeans</t>
        </is>
      </c>
      <c r="B93" s="8" t="n">
        <v>2051829.5154</v>
      </c>
      <c r="C93" s="8" t="n">
        <v>2327398.4005</v>
      </c>
      <c r="D93" s="8" t="n">
        <v>7237598.0068</v>
      </c>
      <c r="E93" s="8" t="n">
        <v>364579.999</v>
      </c>
      <c r="F93" s="9">
        <f>B93+C93+D93+E93</f>
        <v/>
      </c>
    </row>
    <row r="94">
      <c r="A94" s="2" t="inlineStr">
        <is>
          <t>Jogging</t>
        </is>
      </c>
      <c r="B94" s="8" t="n"/>
      <c r="C94" s="8" t="n">
        <v>63000</v>
      </c>
      <c r="D94" s="8" t="n">
        <v>1026463.3785</v>
      </c>
      <c r="E94" s="8" t="n"/>
      <c r="F94" s="9">
        <f>B94+C94+D94+E94</f>
        <v/>
      </c>
    </row>
    <row r="95">
      <c r="A95" s="2" t="inlineStr">
        <is>
          <t>Jogging Corto</t>
        </is>
      </c>
      <c r="B95" s="8" t="n">
        <v>24900</v>
      </c>
      <c r="C95" s="8" t="n">
        <v>48476.1184</v>
      </c>
      <c r="D95" s="8" t="n">
        <v>48000</v>
      </c>
      <c r="E95" s="8" t="n"/>
      <c r="F95" s="9">
        <f>B95+C95+D95+E95</f>
        <v/>
      </c>
    </row>
    <row r="96">
      <c r="A96" s="2" t="inlineStr">
        <is>
          <t>Musculosas</t>
        </is>
      </c>
      <c r="B96" s="8" t="n">
        <v>223500</v>
      </c>
      <c r="C96" s="8" t="n">
        <v>-36800</v>
      </c>
      <c r="D96" s="8" t="n">
        <v>635738.9486999999</v>
      </c>
      <c r="E96" s="8" t="n">
        <v>43750</v>
      </c>
      <c r="F96" s="9">
        <f>B96+C96+D96+E96</f>
        <v/>
      </c>
    </row>
    <row r="97">
      <c r="A97" s="2" t="inlineStr">
        <is>
          <t>Remeras</t>
        </is>
      </c>
      <c r="B97" s="8" t="n">
        <v>5900736.1235</v>
      </c>
      <c r="C97" s="8" t="n">
        <v>8100856.348</v>
      </c>
      <c r="D97" s="8" t="n">
        <v>12814790.5221</v>
      </c>
      <c r="E97" s="8" t="n">
        <v>856365.0024999999</v>
      </c>
      <c r="F97" s="9">
        <f>B97+C97+D97+E97</f>
        <v/>
      </c>
    </row>
    <row r="98">
      <c r="A98" s="2" t="inlineStr">
        <is>
          <t>Sweaters</t>
        </is>
      </c>
      <c r="B98" s="8" t="n"/>
      <c r="C98" s="8" t="n"/>
      <c r="D98" s="8" t="n">
        <v>93900</v>
      </c>
      <c r="E98" s="8" t="n"/>
      <c r="F98" s="9">
        <f>B98+C98+D98+E98</f>
        <v/>
      </c>
    </row>
    <row r="99">
      <c r="A99" s="2" t="inlineStr">
        <is>
          <t>Trajes De Baño</t>
        </is>
      </c>
      <c r="B99" s="8" t="n">
        <v>30840</v>
      </c>
      <c r="C99" s="8" t="n">
        <v>143987.7446</v>
      </c>
      <c r="D99" s="8" t="n">
        <v>916505.517</v>
      </c>
      <c r="E99" s="8" t="n">
        <v>74865</v>
      </c>
      <c r="F99" s="9">
        <f>B99+C99+D99+E99</f>
        <v/>
      </c>
    </row>
    <row r="100">
      <c r="A100" s="5" t="inlineStr">
        <is>
          <t>Totals</t>
        </is>
      </c>
      <c r="B100" s="9">
        <f>SUM($B$79:$B$99)</f>
        <v/>
      </c>
      <c r="C100" s="9">
        <f>SUM($C$79:$C$99)</f>
        <v/>
      </c>
      <c r="D100" s="9">
        <f>SUM($D$79:$D$99)</f>
        <v/>
      </c>
      <c r="E100" s="9">
        <f>SUM($E$79:$E$99)</f>
        <v/>
      </c>
      <c r="F100" s="9">
        <f>SUM($F$79:$F$99)</f>
        <v/>
      </c>
    </row>
    <row r="103">
      <c r="A103" s="1" t="inlineStr">
        <is>
          <t>YoY Sales Amount Comparison - Branch Group 1</t>
        </is>
      </c>
    </row>
    <row r="104">
      <c r="B104" s="1" t="inlineStr">
        <is>
          <t>LIBERT.R</t>
        </is>
      </c>
      <c r="C104" s="1" t="n"/>
      <c r="D104" s="1" t="n"/>
      <c r="E104" s="1" t="inlineStr">
        <is>
          <t>PASO.R</t>
        </is>
      </c>
      <c r="F104" s="1" t="n"/>
      <c r="G104" s="1" t="n"/>
      <c r="H104" s="1" t="inlineStr">
        <is>
          <t>P.OESTE</t>
        </is>
      </c>
      <c r="I104" s="1" t="n"/>
      <c r="J104" s="1" t="n"/>
      <c r="K104" s="1" t="inlineStr">
        <is>
          <t>Global</t>
        </is>
      </c>
      <c r="L104" s="1" t="n"/>
      <c r="M104" s="1" t="n"/>
    </row>
    <row r="105">
      <c r="A105" s="1" t="inlineStr">
        <is>
          <t>Familias</t>
        </is>
      </c>
      <c r="B105" s="1" t="n">
        <v>2025</v>
      </c>
      <c r="C105" s="1" t="n">
        <v>2026</v>
      </c>
      <c r="D105" s="1" t="inlineStr">
        <is>
          <t>%</t>
        </is>
      </c>
      <c r="E105" s="1" t="n">
        <v>2025</v>
      </c>
      <c r="F105" s="1" t="n">
        <v>2026</v>
      </c>
      <c r="G105" s="1" t="inlineStr">
        <is>
          <t>%</t>
        </is>
      </c>
      <c r="H105" s="1" t="n">
        <v>2025</v>
      </c>
      <c r="I105" s="1" t="n">
        <v>2026</v>
      </c>
      <c r="J105" s="1" t="inlineStr">
        <is>
          <t>%</t>
        </is>
      </c>
      <c r="K105" s="1" t="n">
        <v>2025</v>
      </c>
      <c r="L105" s="1" t="n">
        <v>2026</v>
      </c>
      <c r="M105" s="1" t="inlineStr">
        <is>
          <t>%</t>
        </is>
      </c>
    </row>
    <row r="106">
      <c r="A106" s="2" t="inlineStr">
        <is>
          <t>Accesorios</t>
        </is>
      </c>
      <c r="B106" s="8" t="n">
        <v>138482.0013</v>
      </c>
      <c r="C106" s="8" t="n">
        <v>256355.7517</v>
      </c>
      <c r="D106" s="6">
        <f>IF(B106=0, "N/A", (C106-B106)/B106)</f>
        <v/>
      </c>
      <c r="E106" s="8" t="n">
        <v>144250</v>
      </c>
      <c r="F106" s="8" t="n">
        <v>358150</v>
      </c>
      <c r="G106" s="6">
        <f>IF(E106=0, "N/A", (F106-E106)/E106)</f>
        <v/>
      </c>
      <c r="H106" s="8" t="n">
        <v>817330</v>
      </c>
      <c r="I106" s="8" t="n">
        <v>364254.235</v>
      </c>
      <c r="J106" s="6">
        <f>IF(H106=0, "N/A", (I106-H106)/H106)</f>
        <v/>
      </c>
      <c r="K106" s="8">
        <f>B106+E106+H106</f>
        <v/>
      </c>
      <c r="L106" s="8">
        <f>C106+F106+I106</f>
        <v/>
      </c>
      <c r="M106" s="6">
        <f>IF(K106=0, "N/A", (L106-K106)/K106)</f>
        <v/>
      </c>
    </row>
    <row r="107">
      <c r="A107" s="2" t="inlineStr">
        <is>
          <t>Bermudas</t>
        </is>
      </c>
      <c r="B107" s="8" t="n">
        <v>1517748.0524</v>
      </c>
      <c r="C107" s="8" t="n">
        <v>560560.0034</v>
      </c>
      <c r="D107" s="6">
        <f>IF(B107=0, "N/A", (C107-B107)/B107)</f>
        <v/>
      </c>
      <c r="E107" s="8" t="n">
        <v>1930556.7076</v>
      </c>
      <c r="F107" s="8" t="n">
        <v>828510.6886</v>
      </c>
      <c r="G107" s="6">
        <f>IF(E107=0, "N/A", (F107-E107)/E107)</f>
        <v/>
      </c>
      <c r="H107" s="8" t="n">
        <v>3192614.516</v>
      </c>
      <c r="I107" s="8" t="n">
        <v>2564782.8293</v>
      </c>
      <c r="J107" s="6">
        <f>IF(H107=0, "N/A", (I107-H107)/H107)</f>
        <v/>
      </c>
      <c r="K107" s="8">
        <f>B107+E107+H107</f>
        <v/>
      </c>
      <c r="L107" s="8">
        <f>C107+F107+I107</f>
        <v/>
      </c>
      <c r="M107" s="6">
        <f>IF(K107=0, "N/A", (L107-K107)/K107)</f>
        <v/>
      </c>
    </row>
    <row r="108">
      <c r="A108" s="2" t="inlineStr">
        <is>
          <t>Boxer</t>
        </is>
      </c>
      <c r="B108" s="8" t="n"/>
      <c r="C108" s="8" t="n">
        <v>68488.577</v>
      </c>
      <c r="D108" s="6">
        <f>IF(B108=0, "N/A", (C108-B108)/B108)</f>
        <v/>
      </c>
      <c r="E108" s="8" t="n">
        <v>210422.8131</v>
      </c>
      <c r="F108" s="8" t="n">
        <v>203000</v>
      </c>
      <c r="G108" s="6">
        <f>IF(E108=0, "N/A", (F108-E108)/E108)</f>
        <v/>
      </c>
      <c r="H108" s="8" t="n">
        <v>1057953.0671</v>
      </c>
      <c r="I108" s="8" t="n">
        <v>966270.9443</v>
      </c>
      <c r="J108" s="6">
        <f>IF(H108=0, "N/A", (I108-H108)/H108)</f>
        <v/>
      </c>
      <c r="K108" s="8">
        <f>B108+E108+H108</f>
        <v/>
      </c>
      <c r="L108" s="8">
        <f>C108+F108+I108</f>
        <v/>
      </c>
      <c r="M108" s="6">
        <f>IF(K108=0, "N/A", (L108-K108)/K108)</f>
        <v/>
      </c>
    </row>
    <row r="109">
      <c r="A109" s="2" t="inlineStr">
        <is>
          <t>Buzo C Capucha Rustico</t>
        </is>
      </c>
      <c r="B109" s="8" t="n"/>
      <c r="C109" s="8" t="n"/>
      <c r="D109" s="6">
        <f>IF(B109=0, "N/A", (C109-B109)/B109)</f>
        <v/>
      </c>
      <c r="E109" s="8" t="n">
        <v>47881.5866</v>
      </c>
      <c r="F109" s="8" t="n"/>
      <c r="G109" s="6">
        <f>IF(E109=0, "N/A", (F109-E109)/E109)</f>
        <v/>
      </c>
      <c r="H109" s="8" t="n"/>
      <c r="I109" s="8" t="n">
        <v>113900</v>
      </c>
      <c r="J109" s="6">
        <f>IF(H109=0, "N/A", (I109-H109)/H109)</f>
        <v/>
      </c>
      <c r="K109" s="8">
        <f>B109+E109+H109</f>
        <v/>
      </c>
      <c r="L109" s="8">
        <f>C109+F109+I109</f>
        <v/>
      </c>
      <c r="M109" s="6">
        <f>IF(K109=0, "N/A", (L109-K109)/K109)</f>
        <v/>
      </c>
    </row>
    <row r="110">
      <c r="A110" s="2" t="inlineStr">
        <is>
          <t>Buzo Cuello Redondo</t>
        </is>
      </c>
      <c r="B110" s="8" t="n">
        <v>196367.1298</v>
      </c>
      <c r="C110" s="8" t="n"/>
      <c r="D110" s="6">
        <f>IF(B110=0, "N/A", (C110-B110)/B110)</f>
        <v/>
      </c>
      <c r="E110" s="8" t="n">
        <v>270467.1298</v>
      </c>
      <c r="F110" s="8" t="n"/>
      <c r="G110" s="6">
        <f>IF(E110=0, "N/A", (F110-E110)/E110)</f>
        <v/>
      </c>
      <c r="H110" s="8" t="n">
        <v>826390</v>
      </c>
      <c r="I110" s="8" t="n">
        <v>355200</v>
      </c>
      <c r="J110" s="6">
        <f>IF(H110=0, "N/A", (I110-H110)/H110)</f>
        <v/>
      </c>
      <c r="K110" s="8">
        <f>B110+E110+H110</f>
        <v/>
      </c>
      <c r="L110" s="8">
        <f>C110+F110+I110</f>
        <v/>
      </c>
      <c r="M110" s="6">
        <f>IF(K110=0, "N/A", (L110-K110)/K110)</f>
        <v/>
      </c>
    </row>
    <row r="111">
      <c r="A111" s="2" t="inlineStr">
        <is>
          <t>Buzos C Capucha</t>
        </is>
      </c>
      <c r="B111" s="8" t="n">
        <v>46900</v>
      </c>
      <c r="C111" s="8" t="n">
        <v>266100</v>
      </c>
      <c r="D111" s="6">
        <f>IF(B111=0, "N/A", (C111-B111)/B111)</f>
        <v/>
      </c>
      <c r="E111" s="8" t="n">
        <v>191726.861</v>
      </c>
      <c r="F111" s="8" t="n">
        <v>38900</v>
      </c>
      <c r="G111" s="6">
        <f>IF(E111=0, "N/A", (F111-E111)/E111)</f>
        <v/>
      </c>
      <c r="H111" s="8" t="n">
        <v>814500</v>
      </c>
      <c r="I111" s="8" t="n">
        <v>1311854.164</v>
      </c>
      <c r="J111" s="6">
        <f>IF(H111=0, "N/A", (I111-H111)/H111)</f>
        <v/>
      </c>
      <c r="K111" s="8">
        <f>B111+E111+H111</f>
        <v/>
      </c>
      <c r="L111" s="8">
        <f>C111+F111+I111</f>
        <v/>
      </c>
      <c r="M111" s="6">
        <f>IF(K111=0, "N/A", (L111-K111)/K111)</f>
        <v/>
      </c>
    </row>
    <row r="112">
      <c r="A112" s="2" t="inlineStr">
        <is>
          <t>Buzos C Redondo Rustico</t>
        </is>
      </c>
      <c r="B112" s="8" t="n">
        <v>119700</v>
      </c>
      <c r="C112" s="8" t="n"/>
      <c r="D112" s="6">
        <f>IF(B112=0, "N/A", (C112-B112)/B112)</f>
        <v/>
      </c>
      <c r="E112" s="8" t="n">
        <v>39999</v>
      </c>
      <c r="F112" s="8" t="n"/>
      <c r="G112" s="6">
        <f>IF(E112=0, "N/A", (F112-E112)/E112)</f>
        <v/>
      </c>
      <c r="H112" s="8" t="n">
        <v>44500</v>
      </c>
      <c r="I112" s="8" t="n"/>
      <c r="J112" s="6">
        <f>IF(H112=0, "N/A", (I112-H112)/H112)</f>
        <v/>
      </c>
      <c r="K112" s="8">
        <f>B112+E112+H112</f>
        <v/>
      </c>
      <c r="L112" s="8">
        <f>C112+F112+I112</f>
        <v/>
      </c>
      <c r="M112" s="6">
        <f>IF(K112=0, "N/A", (L112-K112)/K112)</f>
        <v/>
      </c>
    </row>
    <row r="113">
      <c r="A113" s="2" t="inlineStr">
        <is>
          <t>Buzos Medio Cierre</t>
        </is>
      </c>
      <c r="B113" s="8" t="n"/>
      <c r="C113" s="8" t="n">
        <v>118800</v>
      </c>
      <c r="D113" s="6">
        <f>IF(B113=0, "N/A", (C113-B113)/B113)</f>
        <v/>
      </c>
      <c r="E113" s="8" t="n"/>
      <c r="F113" s="8" t="n">
        <v>73500</v>
      </c>
      <c r="G113" s="6">
        <f>IF(E113=0, "N/A", (F113-E113)/E113)</f>
        <v/>
      </c>
      <c r="H113" s="8" t="n"/>
      <c r="I113" s="8" t="n">
        <v>385200</v>
      </c>
      <c r="J113" s="6">
        <f>IF(H113=0, "N/A", (I113-H113)/H113)</f>
        <v/>
      </c>
      <c r="K113" s="8">
        <f>B113+E113+H113</f>
        <v/>
      </c>
      <c r="L113" s="8">
        <f>C113+F113+I113</f>
        <v/>
      </c>
      <c r="M113" s="6">
        <f>IF(K113=0, "N/A", (L113-K113)/K113)</f>
        <v/>
      </c>
    </row>
    <row r="114">
      <c r="A114" s="2" t="inlineStr">
        <is>
          <t>Calzado</t>
        </is>
      </c>
      <c r="B114" s="8" t="n">
        <v>160341.1962</v>
      </c>
      <c r="C114" s="8" t="n">
        <v>95300</v>
      </c>
      <c r="D114" s="6">
        <f>IF(B114=0, "N/A", (C114-B114)/B114)</f>
        <v/>
      </c>
      <c r="E114" s="8" t="n">
        <v>142104.0809</v>
      </c>
      <c r="F114" s="8" t="n">
        <v>35700</v>
      </c>
      <c r="G114" s="6">
        <f>IF(E114=0, "N/A", (F114-E114)/E114)</f>
        <v/>
      </c>
      <c r="H114" s="8" t="n">
        <v>159920</v>
      </c>
      <c r="I114" s="8" t="n">
        <v>79960</v>
      </c>
      <c r="J114" s="6">
        <f>IF(H114=0, "N/A", (I114-H114)/H114)</f>
        <v/>
      </c>
      <c r="K114" s="8">
        <f>B114+E114+H114</f>
        <v/>
      </c>
      <c r="L114" s="8">
        <f>C114+F114+I114</f>
        <v/>
      </c>
      <c r="M114" s="6">
        <f>IF(K114=0, "N/A", (L114-K114)/K114)</f>
        <v/>
      </c>
    </row>
    <row r="115">
      <c r="A115" s="2" t="inlineStr">
        <is>
          <t>Camisas</t>
        </is>
      </c>
      <c r="B115" s="8" t="n">
        <v>170540</v>
      </c>
      <c r="C115" s="8" t="n">
        <v>65400</v>
      </c>
      <c r="D115" s="6">
        <f>IF(B115=0, "N/A", (C115-B115)/B115)</f>
        <v/>
      </c>
      <c r="E115" s="8" t="n">
        <v>29676.6245</v>
      </c>
      <c r="F115" s="8" t="n">
        <v>165300</v>
      </c>
      <c r="G115" s="6">
        <f>IF(E115=0, "N/A", (F115-E115)/E115)</f>
        <v/>
      </c>
      <c r="H115" s="8" t="n">
        <v>261150</v>
      </c>
      <c r="I115" s="8" t="n">
        <v>281167.1174</v>
      </c>
      <c r="J115" s="6">
        <f>IF(H115=0, "N/A", (I115-H115)/H115)</f>
        <v/>
      </c>
      <c r="K115" s="8">
        <f>B115+E115+H115</f>
        <v/>
      </c>
      <c r="L115" s="8">
        <f>C115+F115+I115</f>
        <v/>
      </c>
      <c r="M115" s="6">
        <f>IF(K115=0, "N/A", (L115-K115)/K115)</f>
        <v/>
      </c>
    </row>
    <row r="116">
      <c r="A116" s="2" t="inlineStr">
        <is>
          <t>Camisetas Manga Larga</t>
        </is>
      </c>
      <c r="B116" s="8" t="n"/>
      <c r="C116" s="8" t="n"/>
      <c r="D116" s="6">
        <f>IF(B116=0, "N/A", (C116-B116)/B116)</f>
        <v/>
      </c>
      <c r="E116" s="8" t="n">
        <v>23820.7055</v>
      </c>
      <c r="F116" s="8" t="n">
        <v>78700</v>
      </c>
      <c r="G116" s="6">
        <f>IF(E116=0, "N/A", (F116-E116)/E116)</f>
        <v/>
      </c>
      <c r="H116" s="8" t="n">
        <v>22750</v>
      </c>
      <c r="I116" s="8" t="n">
        <v>224100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Campera S Capucha</t>
        </is>
      </c>
      <c r="B117" s="8" t="n"/>
      <c r="C117" s="8" t="n"/>
      <c r="D117" s="6">
        <f>IF(B117=0, "N/A", (C117-B117)/B117)</f>
        <v/>
      </c>
      <c r="E117" s="8" t="n"/>
      <c r="F117" s="8" t="n">
        <v>89700</v>
      </c>
      <c r="G117" s="6">
        <f>IF(E117=0, "N/A", (F117-E117)/E117)</f>
        <v/>
      </c>
      <c r="H117" s="8" t="n">
        <v>76000</v>
      </c>
      <c r="I117" s="8" t="n"/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Camperas Capucha</t>
        </is>
      </c>
      <c r="B118" s="8" t="n"/>
      <c r="C118" s="8" t="n">
        <v>49900</v>
      </c>
      <c r="D118" s="6">
        <f>IF(B118=0, "N/A", (C118-B118)/B118)</f>
        <v/>
      </c>
      <c r="E118" s="8" t="n"/>
      <c r="F118" s="8" t="n">
        <v>289400</v>
      </c>
      <c r="G118" s="6">
        <f>IF(E118=0, "N/A", (F118-E118)/E118)</f>
        <v/>
      </c>
      <c r="H118" s="8" t="n">
        <v>976650</v>
      </c>
      <c r="I118" s="8" t="n">
        <v>1627692.188</v>
      </c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Chombas</t>
        </is>
      </c>
      <c r="B119" s="8" t="n">
        <v>1396118.7215</v>
      </c>
      <c r="C119" s="8" t="n">
        <v>871690.029</v>
      </c>
      <c r="D119" s="6">
        <f>IF(B119=0, "N/A", (C119-B119)/B119)</f>
        <v/>
      </c>
      <c r="E119" s="8" t="n">
        <v>1396028.7955</v>
      </c>
      <c r="F119" s="8" t="n">
        <v>1901930.6999</v>
      </c>
      <c r="G119" s="6">
        <f>IF(E119=0, "N/A", (F119-E119)/E119)</f>
        <v/>
      </c>
      <c r="H119" s="8" t="n">
        <v>684060</v>
      </c>
      <c r="I119" s="8" t="n">
        <v>1758047.2089</v>
      </c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Chombas Manga Larga</t>
        </is>
      </c>
      <c r="B120" s="8" t="n"/>
      <c r="C120" s="8" t="n">
        <v>71800</v>
      </c>
      <c r="D120" s="6">
        <f>IF(B120=0, "N/A", (C120-B120)/B120)</f>
        <v/>
      </c>
      <c r="E120" s="8" t="n"/>
      <c r="F120" s="8" t="n">
        <v>71800</v>
      </c>
      <c r="G120" s="6">
        <f>IF(E120=0, "N/A", (F120-E120)/E120)</f>
        <v/>
      </c>
      <c r="H120" s="8" t="n"/>
      <c r="I120" s="8" t="n">
        <v>25900</v>
      </c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Jeans</t>
        </is>
      </c>
      <c r="B121" s="8" t="n">
        <v>708249.8437</v>
      </c>
      <c r="C121" s="8" t="n">
        <v>2051829.5154</v>
      </c>
      <c r="D121" s="6">
        <f>IF(B121=0, "N/A", (C121-B121)/B121)</f>
        <v/>
      </c>
      <c r="E121" s="8" t="n">
        <v>2211199.5917</v>
      </c>
      <c r="F121" s="8" t="n">
        <v>2327398.4005</v>
      </c>
      <c r="G121" s="6">
        <f>IF(E121=0, "N/A", (F121-E121)/E121)</f>
        <v/>
      </c>
      <c r="H121" s="8" t="n">
        <v>5299909</v>
      </c>
      <c r="I121" s="8" t="n">
        <v>7237598.0068</v>
      </c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Jogging</t>
        </is>
      </c>
      <c r="B122" s="8" t="n">
        <v>53500</v>
      </c>
      <c r="C122" s="8" t="n"/>
      <c r="D122" s="6">
        <f>IF(B122=0, "N/A", (C122-B122)/B122)</f>
        <v/>
      </c>
      <c r="E122" s="8" t="n">
        <v>34900</v>
      </c>
      <c r="F122" s="8" t="n">
        <v>63000</v>
      </c>
      <c r="G122" s="6">
        <f>IF(E122=0, "N/A", (F122-E122)/E122)</f>
        <v/>
      </c>
      <c r="H122" s="8" t="n">
        <v>225900</v>
      </c>
      <c r="I122" s="8" t="n">
        <v>1026463.3785</v>
      </c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Jogging Corto</t>
        </is>
      </c>
      <c r="B123" s="8" t="n"/>
      <c r="C123" s="8" t="n">
        <v>24900</v>
      </c>
      <c r="D123" s="6">
        <f>IF(B123=0, "N/A", (C123-B123)/B123)</f>
        <v/>
      </c>
      <c r="E123" s="8" t="n"/>
      <c r="F123" s="8" t="n">
        <v>48476.1184</v>
      </c>
      <c r="G123" s="6">
        <f>IF(E123=0, "N/A", (F123-E123)/E123)</f>
        <v/>
      </c>
      <c r="H123" s="8" t="n">
        <v>-12001</v>
      </c>
      <c r="I123" s="8" t="n">
        <v>48000</v>
      </c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Musculosas</t>
        </is>
      </c>
      <c r="B124" s="8" t="n">
        <v>318800</v>
      </c>
      <c r="C124" s="8" t="n">
        <v>223500</v>
      </c>
      <c r="D124" s="6">
        <f>IF(B124=0, "N/A", (C124-B124)/B124)</f>
        <v/>
      </c>
      <c r="E124" s="8" t="n">
        <v>82304.0809</v>
      </c>
      <c r="F124" s="8" t="n">
        <v>-36800</v>
      </c>
      <c r="G124" s="6">
        <f>IF(E124=0, "N/A", (F124-E124)/E124)</f>
        <v/>
      </c>
      <c r="H124" s="8" t="n">
        <v>815.5612000000001</v>
      </c>
      <c r="I124" s="8" t="n">
        <v>635738.9486999999</v>
      </c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Otro</t>
        </is>
      </c>
      <c r="B125" s="8" t="n">
        <v>66000</v>
      </c>
      <c r="C125" s="8" t="n"/>
      <c r="D125" s="6">
        <f>IF(B125=0, "N/A", (C125-B125)/B125)</f>
        <v/>
      </c>
      <c r="E125" s="8" t="n">
        <v>-11000</v>
      </c>
      <c r="F125" s="8" t="n"/>
      <c r="G125" s="6">
        <f>IF(E125=0, "N/A", (F125-E125)/E125)</f>
        <v/>
      </c>
      <c r="H125" s="8" t="n"/>
      <c r="I125" s="8" t="n"/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Remeras</t>
        </is>
      </c>
      <c r="B126" s="8" t="n">
        <v>4144149.2073</v>
      </c>
      <c r="C126" s="8" t="n">
        <v>5900736.1235</v>
      </c>
      <c r="D126" s="6">
        <f>IF(B126=0, "N/A", (C126-B126)/B126)</f>
        <v/>
      </c>
      <c r="E126" s="8" t="n">
        <v>7644566.3293</v>
      </c>
      <c r="F126" s="8" t="n">
        <v>8100856.348</v>
      </c>
      <c r="G126" s="6">
        <f>IF(E126=0, "N/A", (F126-E126)/E126)</f>
        <v/>
      </c>
      <c r="H126" s="8" t="n">
        <v>18427178.8957</v>
      </c>
      <c r="I126" s="8" t="n">
        <v>12814790.5221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Sweaters</t>
        </is>
      </c>
      <c r="B127" s="8" t="n"/>
      <c r="C127" s="8" t="n"/>
      <c r="D127" s="6">
        <f>IF(B127=0, "N/A", (C127-B127)/B127)</f>
        <v/>
      </c>
      <c r="E127" s="8" t="n"/>
      <c r="F127" s="8" t="n"/>
      <c r="G127" s="6">
        <f>IF(E127=0, "N/A", (F127-E127)/E127)</f>
        <v/>
      </c>
      <c r="H127" s="8" t="n">
        <v>223400</v>
      </c>
      <c r="I127" s="8" t="n">
        <v>93900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Trajes De Baño</t>
        </is>
      </c>
      <c r="B128" s="8" t="n">
        <v>510413.8478</v>
      </c>
      <c r="C128" s="8" t="n">
        <v>30840</v>
      </c>
      <c r="D128" s="6">
        <f>IF(B128=0, "N/A", (C128-B128)/B128)</f>
        <v/>
      </c>
      <c r="E128" s="8" t="n">
        <v>187816.6936</v>
      </c>
      <c r="F128" s="8" t="n">
        <v>143987.7446</v>
      </c>
      <c r="G128" s="6">
        <f>IF(E128=0, "N/A", (F128-E128)/E128)</f>
        <v/>
      </c>
      <c r="H128" s="8" t="n">
        <v>234300</v>
      </c>
      <c r="I128" s="8" t="n">
        <v>916505.517</v>
      </c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5" t="inlineStr">
        <is>
          <t>Totals</t>
        </is>
      </c>
      <c r="B129" s="9">
        <f>SUM($B106:$B128)</f>
        <v/>
      </c>
      <c r="C129" s="9">
        <f>SUM($C106:$C128)</f>
        <v/>
      </c>
      <c r="D129" s="7">
        <f>IF(B129=0, "N/A", (C129-B129)/B129)</f>
        <v/>
      </c>
      <c r="E129" s="9">
        <f>SUM($E106:$E128)</f>
        <v/>
      </c>
      <c r="F129" s="9">
        <f>SUM($F106:$F128)</f>
        <v/>
      </c>
      <c r="G129" s="7">
        <f>IF(E129=0, "N/A", (F129-E129)/E129)</f>
        <v/>
      </c>
      <c r="H129" s="9">
        <f>SUM($H106:$H128)</f>
        <v/>
      </c>
      <c r="I129" s="9">
        <f>SUM($I106:$I128)</f>
        <v/>
      </c>
      <c r="J129" s="7">
        <f>IF(H129=0, "N/A", (I129-H129)/H129)</f>
        <v/>
      </c>
      <c r="K129" s="9">
        <f>SUM($K106:$K128)</f>
        <v/>
      </c>
      <c r="L129" s="9">
        <f>SUM($L106:$L128)</f>
        <v/>
      </c>
      <c r="M129" s="7">
        <f>IF(K129=0, "N/A", (L129-K129)/K129)</f>
        <v/>
      </c>
    </row>
    <row r="132">
      <c r="A132" s="1" t="inlineStr">
        <is>
          <t>YoY Sales Amount Comparison - Branch Group 2</t>
        </is>
      </c>
    </row>
    <row r="133">
      <c r="B133" s="1" t="inlineStr">
        <is>
          <t>VIRREYES</t>
        </is>
      </c>
      <c r="C133" s="1" t="n"/>
      <c r="D133" s="1" t="n"/>
    </row>
    <row r="134">
      <c r="A134" s="1" t="inlineStr">
        <is>
          <t>Familias</t>
        </is>
      </c>
      <c r="B134" s="1" t="n">
        <v>2025</v>
      </c>
      <c r="C134" s="1" t="n">
        <v>2026</v>
      </c>
      <c r="D134" s="1" t="inlineStr">
        <is>
          <t>%</t>
        </is>
      </c>
    </row>
    <row r="135">
      <c r="A135" s="2" t="inlineStr">
        <is>
          <t>Accesorios</t>
        </is>
      </c>
      <c r="B135" s="8" t="n">
        <v>54775</v>
      </c>
      <c r="C135" s="8" t="n">
        <v>4499.1</v>
      </c>
      <c r="D135" s="6">
        <f>IF(B135=0, "N/A", (C135-B135)/B135)</f>
        <v/>
      </c>
    </row>
    <row r="136">
      <c r="A136" s="2" t="inlineStr">
        <is>
          <t>Bermudas</t>
        </is>
      </c>
      <c r="B136" s="8" t="n">
        <v>259480</v>
      </c>
      <c r="C136" s="8" t="n">
        <v>246005.0005</v>
      </c>
      <c r="D136" s="6">
        <f>IF(B136=0, "N/A", (C136-B136)/B136)</f>
        <v/>
      </c>
    </row>
    <row r="137">
      <c r="A137" s="2" t="inlineStr">
        <is>
          <t>Boxer</t>
        </is>
      </c>
      <c r="B137" s="8" t="n">
        <v>13500</v>
      </c>
      <c r="C137" s="8" t="n">
        <v>29000</v>
      </c>
      <c r="D137" s="6">
        <f>IF(B137=0, "N/A", (C137-B137)/B137)</f>
        <v/>
      </c>
    </row>
    <row r="138">
      <c r="A138" s="2" t="inlineStr">
        <is>
          <t>Buzo Cuello Redondo</t>
        </is>
      </c>
      <c r="B138" s="8" t="n"/>
      <c r="C138" s="8" t="n"/>
      <c r="D138" s="6">
        <f>IF(B138=0, "N/A", (C138-B138)/B138)</f>
        <v/>
      </c>
    </row>
    <row r="139">
      <c r="A139" s="2" t="inlineStr">
        <is>
          <t>Buzos C Capucha</t>
        </is>
      </c>
      <c r="B139" s="8" t="n"/>
      <c r="C139" s="8" t="n">
        <v>131319.9993</v>
      </c>
      <c r="D139" s="6">
        <f>IF(B139=0, "N/A", (C139-B139)/B139)</f>
        <v/>
      </c>
    </row>
    <row r="140">
      <c r="A140" s="2" t="inlineStr">
        <is>
          <t>Calzado</t>
        </is>
      </c>
      <c r="B140" s="8" t="n">
        <v>104300</v>
      </c>
      <c r="C140" s="8" t="n"/>
      <c r="D140" s="6">
        <f>IF(B140=0, "N/A", (C140-B140)/B140)</f>
        <v/>
      </c>
    </row>
    <row r="141">
      <c r="A141" s="2" t="inlineStr">
        <is>
          <t>Camisas</t>
        </is>
      </c>
      <c r="B141" s="8" t="n">
        <v>89998</v>
      </c>
      <c r="C141" s="8" t="n"/>
      <c r="D141" s="6">
        <f>IF(B141=0, "N/A", (C141-B141)/B141)</f>
        <v/>
      </c>
    </row>
    <row r="142">
      <c r="A142" s="2" t="inlineStr">
        <is>
          <t>Camperas Capucha</t>
        </is>
      </c>
      <c r="B142" s="8" t="n"/>
      <c r="C142" s="8" t="n">
        <v>144710</v>
      </c>
      <c r="D142" s="6">
        <f>IF(B142=0, "N/A", (C142-B142)/B142)</f>
        <v/>
      </c>
    </row>
    <row r="143">
      <c r="A143" s="2" t="inlineStr">
        <is>
          <t>Chombas</t>
        </is>
      </c>
      <c r="B143" s="8" t="n">
        <v>62880</v>
      </c>
      <c r="C143" s="8" t="n">
        <v>56949.9987</v>
      </c>
      <c r="D143" s="6">
        <f>IF(B143=0, "N/A", (C143-B143)/B143)</f>
        <v/>
      </c>
    </row>
    <row r="144">
      <c r="A144" s="2" t="inlineStr">
        <is>
          <t>Jeans</t>
        </is>
      </c>
      <c r="B144" s="8" t="n">
        <v>107970</v>
      </c>
      <c r="C144" s="8" t="n">
        <v>364579.999</v>
      </c>
      <c r="D144" s="6">
        <f>IF(B144=0, "N/A", (C144-B144)/B144)</f>
        <v/>
      </c>
    </row>
    <row r="145">
      <c r="A145" s="2" t="inlineStr">
        <is>
          <t>Jogging Corto</t>
        </is>
      </c>
      <c r="B145" s="8" t="n">
        <v>19990</v>
      </c>
      <c r="C145" s="8" t="n"/>
      <c r="D145" s="6">
        <f>IF(B145=0, "N/A", (C145-B145)/B145)</f>
        <v/>
      </c>
    </row>
    <row r="146">
      <c r="A146" s="2" t="inlineStr">
        <is>
          <t>Musculosas</t>
        </is>
      </c>
      <c r="B146" s="8" t="n">
        <v>14900</v>
      </c>
      <c r="C146" s="8" t="n">
        <v>43750</v>
      </c>
      <c r="D146" s="6">
        <f>IF(B146=0, "N/A", (C146-B146)/B146)</f>
        <v/>
      </c>
    </row>
    <row r="147">
      <c r="A147" s="2" t="inlineStr">
        <is>
          <t>Otro</t>
        </is>
      </c>
      <c r="B147" s="8" t="n">
        <v>19900</v>
      </c>
      <c r="C147" s="8" t="n"/>
      <c r="D147" s="6">
        <f>IF(B147=0, "N/A", (C147-B147)/B147)</f>
        <v/>
      </c>
    </row>
    <row r="148">
      <c r="A148" s="2" t="inlineStr">
        <is>
          <t>Remeras</t>
        </is>
      </c>
      <c r="B148" s="8" t="n">
        <v>952826</v>
      </c>
      <c r="C148" s="8" t="n">
        <v>856365.0024999999</v>
      </c>
      <c r="D148" s="6">
        <f>IF(B148=0, "N/A", (C148-B148)/B148)</f>
        <v/>
      </c>
    </row>
    <row r="149">
      <c r="A149" s="2" t="inlineStr">
        <is>
          <t>Trajes De Baño</t>
        </is>
      </c>
      <c r="B149" s="8" t="n">
        <v>18900</v>
      </c>
      <c r="C149" s="8" t="n">
        <v>74865</v>
      </c>
      <c r="D149" s="6">
        <f>IF(B149=0, "N/A", (C149-B149)/B149)</f>
        <v/>
      </c>
    </row>
    <row r="150">
      <c r="A150" s="5" t="inlineStr">
        <is>
          <t>Totals</t>
        </is>
      </c>
      <c r="B150" s="9">
        <f>SUM($B135:$B149)</f>
        <v/>
      </c>
      <c r="C150" s="9">
        <f>SUM($C135:$C149)</f>
        <v/>
      </c>
      <c r="D150" s="7">
        <f>IF(B150=0, "N/A", (C150-B150)/B150)</f>
        <v/>
      </c>
    </row>
  </sheetData>
  <mergeCells count="16">
    <mergeCell ref="A132:D132"/>
    <mergeCell ref="A56:D56"/>
    <mergeCell ref="A103:M103"/>
    <mergeCell ref="A27:M27"/>
    <mergeCell ref="B104:C104"/>
    <mergeCell ref="E104:F104"/>
    <mergeCell ref="A1:F1"/>
    <mergeCell ref="H104:I104"/>
    <mergeCell ref="B133:C133"/>
    <mergeCell ref="B28:C28"/>
    <mergeCell ref="K28:L28"/>
    <mergeCell ref="E28:F28"/>
    <mergeCell ref="K104:L104"/>
    <mergeCell ref="H28:I28"/>
    <mergeCell ref="B57:C57"/>
    <mergeCell ref="A77:F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March 01, 2026 to March 31,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9</v>
      </c>
      <c r="C3" s="3" t="n">
        <v>26</v>
      </c>
      <c r="D3" s="3" t="n">
        <v>52</v>
      </c>
      <c r="E3" s="3" t="n"/>
      <c r="F3" s="4">
        <f>B3+C3+D3+E3</f>
        <v/>
      </c>
    </row>
    <row r="4">
      <c r="A4" s="2" t="inlineStr">
        <is>
          <t>Bermudas</t>
        </is>
      </c>
      <c r="B4" s="3" t="n"/>
      <c r="C4" s="3" t="n">
        <v>5</v>
      </c>
      <c r="D4" s="3" t="n">
        <v>27</v>
      </c>
      <c r="E4" s="3" t="n">
        <v>-1</v>
      </c>
      <c r="F4" s="4">
        <f>B4+C4+D4+E4</f>
        <v/>
      </c>
    </row>
    <row r="5">
      <c r="A5" s="2" t="inlineStr">
        <is>
          <t>Boxer</t>
        </is>
      </c>
      <c r="B5" s="3" t="n">
        <v>1</v>
      </c>
      <c r="C5" s="3" t="n">
        <v>7</v>
      </c>
      <c r="D5" s="3" t="n">
        <v>101</v>
      </c>
      <c r="E5" s="3" t="n">
        <v>3</v>
      </c>
      <c r="F5" s="4">
        <f>B5+C5+D5+E5</f>
        <v/>
      </c>
    </row>
    <row r="6">
      <c r="A6" s="2" t="inlineStr">
        <is>
          <t>Buzo C Capucha Rustico</t>
        </is>
      </c>
      <c r="B6" s="3" t="n"/>
      <c r="C6" s="3" t="n"/>
      <c r="D6" s="3" t="n">
        <v>4</v>
      </c>
      <c r="E6" s="3" t="n"/>
      <c r="F6" s="4">
        <f>B6+C6+D6+E6</f>
        <v/>
      </c>
    </row>
    <row r="7">
      <c r="A7" s="2" t="inlineStr">
        <is>
          <t>Buzo Cuello Redondo</t>
        </is>
      </c>
      <c r="B7" s="3" t="n">
        <v>5</v>
      </c>
      <c r="C7" s="3" t="n">
        <v>6</v>
      </c>
      <c r="D7" s="3" t="n">
        <v>92</v>
      </c>
      <c r="E7" s="3" t="n">
        <v>2</v>
      </c>
      <c r="F7" s="4">
        <f>B7+C7+D7+E7</f>
        <v/>
      </c>
    </row>
    <row r="8">
      <c r="A8" s="2" t="inlineStr">
        <is>
          <t>Buzos C Capucha</t>
        </is>
      </c>
      <c r="B8" s="3" t="n">
        <v>23</v>
      </c>
      <c r="C8" s="3" t="n">
        <v>6</v>
      </c>
      <c r="D8" s="3" t="n">
        <v>105</v>
      </c>
      <c r="E8" s="3" t="n">
        <v>8</v>
      </c>
      <c r="F8" s="4">
        <f>B8+C8+D8+E8</f>
        <v/>
      </c>
    </row>
    <row r="9">
      <c r="A9" s="2" t="inlineStr">
        <is>
          <t>Buzos Medio Cierre</t>
        </is>
      </c>
      <c r="B9" s="3" t="n">
        <v>11</v>
      </c>
      <c r="C9" s="3" t="n">
        <v>14</v>
      </c>
      <c r="D9" s="3" t="n">
        <v>30</v>
      </c>
      <c r="E9" s="3" t="n"/>
      <c r="F9" s="4">
        <f>B9+C9+D9+E9</f>
        <v/>
      </c>
    </row>
    <row r="10">
      <c r="A10" s="2" t="inlineStr">
        <is>
          <t>Calzado</t>
        </is>
      </c>
      <c r="B10" s="3" t="n"/>
      <c r="C10" s="3" t="n">
        <v>-1</v>
      </c>
      <c r="D10" s="3" t="n"/>
      <c r="E10" s="3" t="n">
        <v>1</v>
      </c>
      <c r="F10" s="4">
        <f>B10+C10+D10+E10</f>
        <v/>
      </c>
    </row>
    <row r="11">
      <c r="A11" s="2" t="inlineStr">
        <is>
          <t>Camisas</t>
        </is>
      </c>
      <c r="B11" s="3" t="n">
        <v>2</v>
      </c>
      <c r="C11" s="3" t="n">
        <v>7</v>
      </c>
      <c r="D11" s="3" t="n">
        <v>6</v>
      </c>
      <c r="E11" s="3" t="n"/>
      <c r="F11" s="4">
        <f>B11+C11+D11+E11</f>
        <v/>
      </c>
    </row>
    <row r="12">
      <c r="A12" s="2" t="inlineStr">
        <is>
          <t>Camisetas Manga Larga</t>
        </is>
      </c>
      <c r="B12" s="3" t="n">
        <v>28</v>
      </c>
      <c r="C12" s="3" t="n">
        <v>69</v>
      </c>
      <c r="D12" s="3" t="n">
        <v>35</v>
      </c>
      <c r="E12" s="3" t="n"/>
      <c r="F12" s="4">
        <f>B12+C12+D12+E12</f>
        <v/>
      </c>
    </row>
    <row r="13">
      <c r="A13" s="2" t="inlineStr">
        <is>
          <t>Campera S Capucha</t>
        </is>
      </c>
      <c r="B13" s="3" t="n">
        <v>1</v>
      </c>
      <c r="C13" s="3" t="n"/>
      <c r="D13" s="3" t="n">
        <v>3</v>
      </c>
      <c r="E13" s="3" t="n"/>
      <c r="F13" s="4">
        <f>B13+C13+D13+E13</f>
        <v/>
      </c>
    </row>
    <row r="14">
      <c r="A14" s="2" t="inlineStr">
        <is>
          <t>Camperas Capucha</t>
        </is>
      </c>
      <c r="B14" s="3" t="n">
        <v>31</v>
      </c>
      <c r="C14" s="3" t="n">
        <v>57</v>
      </c>
      <c r="D14" s="3" t="n">
        <v>89</v>
      </c>
      <c r="E14" s="3" t="n">
        <v>2</v>
      </c>
      <c r="F14" s="4">
        <f>B14+C14+D14+E14</f>
        <v/>
      </c>
    </row>
    <row r="15">
      <c r="A15" s="2" t="inlineStr">
        <is>
          <t>Camperas De Abrigo</t>
        </is>
      </c>
      <c r="B15" s="3" t="n">
        <v>4</v>
      </c>
      <c r="C15" s="3" t="n">
        <v>4</v>
      </c>
      <c r="D15" s="3" t="n">
        <v>7</v>
      </c>
      <c r="E15" s="3" t="n"/>
      <c r="F15" s="4">
        <f>B15+C15+D15+E15</f>
        <v/>
      </c>
    </row>
    <row r="16">
      <c r="A16" s="2" t="inlineStr">
        <is>
          <t>Chombas</t>
        </is>
      </c>
      <c r="B16" s="3" t="n">
        <v>20</v>
      </c>
      <c r="C16" s="3" t="n">
        <v>10</v>
      </c>
      <c r="D16" s="3" t="n">
        <v>46</v>
      </c>
      <c r="E16" s="3" t="n">
        <v>1</v>
      </c>
      <c r="F16" s="4">
        <f>B16+C16+D16+E16</f>
        <v/>
      </c>
    </row>
    <row r="17">
      <c r="A17" s="2" t="inlineStr">
        <is>
          <t>Chombas Manga Larga</t>
        </is>
      </c>
      <c r="B17" s="3" t="n">
        <v>13</v>
      </c>
      <c r="C17" s="3" t="n">
        <v>28</v>
      </c>
      <c r="D17" s="3" t="n">
        <v>8</v>
      </c>
      <c r="E17" s="3" t="n">
        <v>1</v>
      </c>
      <c r="F17" s="4">
        <f>B17+C17+D17+E17</f>
        <v/>
      </c>
    </row>
    <row r="18">
      <c r="A18" s="2" t="inlineStr">
        <is>
          <t>Jeans</t>
        </is>
      </c>
      <c r="B18" s="3" t="n">
        <v>72</v>
      </c>
      <c r="C18" s="3" t="n">
        <v>91</v>
      </c>
      <c r="D18" s="3" t="n">
        <v>229</v>
      </c>
      <c r="E18" s="3" t="n">
        <v>4</v>
      </c>
      <c r="F18" s="4">
        <f>B18+C18+D18+E18</f>
        <v/>
      </c>
    </row>
    <row r="19">
      <c r="A19" s="2" t="inlineStr">
        <is>
          <t>Jeans De Segunda</t>
        </is>
      </c>
      <c r="B19" s="3" t="n"/>
      <c r="C19" s="3" t="n"/>
      <c r="D19" s="3" t="n"/>
      <c r="E19" s="3" t="n"/>
      <c r="F19" s="4">
        <f>B19+C19+D19+E19</f>
        <v/>
      </c>
    </row>
    <row r="20">
      <c r="A20" s="2" t="inlineStr">
        <is>
          <t>Jogging</t>
        </is>
      </c>
      <c r="B20" s="3" t="n">
        <v>3</v>
      </c>
      <c r="C20" s="3" t="n">
        <v>3</v>
      </c>
      <c r="D20" s="3" t="n">
        <v>56</v>
      </c>
      <c r="E20" s="3" t="n">
        <v>1</v>
      </c>
      <c r="F20" s="4">
        <f>B20+C20+D20+E20</f>
        <v/>
      </c>
    </row>
    <row r="21">
      <c r="A21" s="2" t="inlineStr">
        <is>
          <t>Jogging Corto</t>
        </is>
      </c>
      <c r="B21" s="3" t="n">
        <v>3</v>
      </c>
      <c r="C21" s="3" t="n">
        <v>3</v>
      </c>
      <c r="D21" s="3" t="n">
        <v>3</v>
      </c>
      <c r="E21" s="3" t="n"/>
      <c r="F21" s="4">
        <f>B21+C21+D21+E21</f>
        <v/>
      </c>
    </row>
    <row r="22">
      <c r="A22" s="2" t="inlineStr">
        <is>
          <t>Musculosas</t>
        </is>
      </c>
      <c r="B22" s="3" t="n"/>
      <c r="C22" s="3" t="n">
        <v>-1</v>
      </c>
      <c r="D22" s="3" t="n">
        <v>9</v>
      </c>
      <c r="E22" s="3" t="n"/>
      <c r="F22" s="4">
        <f>B22+C22+D22+E22</f>
        <v/>
      </c>
    </row>
    <row r="23">
      <c r="A23" s="2" t="inlineStr">
        <is>
          <t>Otro</t>
        </is>
      </c>
      <c r="B23" s="3" t="n"/>
      <c r="C23" s="3" t="n">
        <v>1</v>
      </c>
      <c r="D23" s="3" t="n"/>
      <c r="E23" s="3" t="n"/>
      <c r="F23" s="4">
        <f>B23+C23+D23+E23</f>
        <v/>
      </c>
    </row>
    <row r="24">
      <c r="A24" s="2" t="inlineStr">
        <is>
          <t>Remeras</t>
        </is>
      </c>
      <c r="B24" s="3" t="n">
        <v>192</v>
      </c>
      <c r="C24" s="3" t="n">
        <v>297</v>
      </c>
      <c r="D24" s="3" t="n">
        <v>662</v>
      </c>
      <c r="E24" s="3" t="n">
        <v>41</v>
      </c>
      <c r="F24" s="4">
        <f>B24+C24+D24+E24</f>
        <v/>
      </c>
    </row>
    <row r="25">
      <c r="A25" s="2" t="inlineStr">
        <is>
          <t>Sweaters</t>
        </is>
      </c>
      <c r="B25" s="3" t="n">
        <v>1</v>
      </c>
      <c r="C25" s="3" t="n"/>
      <c r="D25" s="3" t="n">
        <v>4</v>
      </c>
      <c r="E25" s="3" t="n">
        <v>1</v>
      </c>
      <c r="F25" s="4">
        <f>B25+C25+D25+E25</f>
        <v/>
      </c>
    </row>
    <row r="26">
      <c r="A26" s="2" t="inlineStr">
        <is>
          <t>Trajes De Baño</t>
        </is>
      </c>
      <c r="B26" s="3" t="n"/>
      <c r="C26" s="3" t="n"/>
      <c r="D26" s="3" t="n">
        <v>12</v>
      </c>
      <c r="E26" s="3" t="n"/>
      <c r="F26" s="4">
        <f>B26+C26+D26+E26</f>
        <v/>
      </c>
    </row>
    <row r="27">
      <c r="A27" s="5" t="inlineStr">
        <is>
          <t>Totals</t>
        </is>
      </c>
      <c r="B27" s="4">
        <f>SUM($B$3:$B$26)</f>
        <v/>
      </c>
      <c r="C27" s="4">
        <f>SUM($C$3:$C$26)</f>
        <v/>
      </c>
      <c r="D27" s="4">
        <f>SUM($D$3:$D$26)</f>
        <v/>
      </c>
      <c r="E27" s="4">
        <f>SUM($E$3:$E$26)</f>
        <v/>
      </c>
      <c r="F27" s="4">
        <f>SUM($F$3:$F$26)</f>
        <v/>
      </c>
    </row>
    <row r="30">
      <c r="A30" s="1" t="inlineStr">
        <is>
          <t>YoY Units Sold Comparison - Branch Group 1</t>
        </is>
      </c>
    </row>
    <row r="31">
      <c r="B31" s="1" t="inlineStr">
        <is>
          <t>LIBERT.R</t>
        </is>
      </c>
      <c r="C31" s="1" t="n"/>
      <c r="D31" s="1" t="n"/>
      <c r="E31" s="1" t="inlineStr">
        <is>
          <t>PASO.R</t>
        </is>
      </c>
      <c r="F31" s="1" t="n"/>
      <c r="G31" s="1" t="n"/>
      <c r="H31" s="1" t="inlineStr">
        <is>
          <t>P.OESTE</t>
        </is>
      </c>
      <c r="I31" s="1" t="n"/>
      <c r="J31" s="1" t="n"/>
      <c r="K31" s="1" t="inlineStr">
        <is>
          <t>Global</t>
        </is>
      </c>
      <c r="L31" s="1" t="n"/>
      <c r="M31" s="1" t="n"/>
    </row>
    <row r="32">
      <c r="A32" s="1" t="inlineStr">
        <is>
          <t>Familias</t>
        </is>
      </c>
      <c r="B32" s="1" t="n">
        <v>2025</v>
      </c>
      <c r="C32" s="1" t="n">
        <v>2026</v>
      </c>
      <c r="D32" s="1" t="inlineStr">
        <is>
          <t>%</t>
        </is>
      </c>
      <c r="E32" s="1" t="n">
        <v>2025</v>
      </c>
      <c r="F32" s="1" t="n">
        <v>2026</v>
      </c>
      <c r="G32" s="1" t="inlineStr">
        <is>
          <t>%</t>
        </is>
      </c>
      <c r="H32" s="1" t="n">
        <v>2025</v>
      </c>
      <c r="I32" s="1" t="n">
        <v>2026</v>
      </c>
      <c r="J32" s="1" t="inlineStr">
        <is>
          <t>%</t>
        </is>
      </c>
      <c r="K32" s="1" t="n">
        <v>2025</v>
      </c>
      <c r="L32" s="1" t="n">
        <v>2026</v>
      </c>
      <c r="M32" s="1" t="inlineStr">
        <is>
          <t>%</t>
        </is>
      </c>
    </row>
    <row r="33">
      <c r="A33" s="2" t="inlineStr">
        <is>
          <t>Accesorios</t>
        </is>
      </c>
      <c r="B33" s="3" t="n">
        <v>33</v>
      </c>
      <c r="C33" s="3" t="n">
        <v>9</v>
      </c>
      <c r="D33" s="6">
        <f>IF(B33=0, "N/A", (C33-B33)/B33)</f>
        <v/>
      </c>
      <c r="E33" s="3" t="n">
        <v>29</v>
      </c>
      <c r="F33" s="3" t="n">
        <v>26</v>
      </c>
      <c r="G33" s="6">
        <f>IF(E33=0, "N/A", (F33-E33)/E33)</f>
        <v/>
      </c>
      <c r="H33" s="3" t="n">
        <v>92</v>
      </c>
      <c r="I33" s="3" t="n">
        <v>52</v>
      </c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Bermudas</t>
        </is>
      </c>
      <c r="B34" s="3" t="n">
        <v>8</v>
      </c>
      <c r="C34" s="3" t="n"/>
      <c r="D34" s="6">
        <f>IF(B34=0, "N/A", (C34-B34)/B34)</f>
        <v/>
      </c>
      <c r="E34" s="3" t="n">
        <v>25</v>
      </c>
      <c r="F34" s="3" t="n">
        <v>5</v>
      </c>
      <c r="G34" s="6">
        <f>IF(E34=0, "N/A", (F34-E34)/E34)</f>
        <v/>
      </c>
      <c r="H34" s="3" t="n">
        <v>70</v>
      </c>
      <c r="I34" s="3" t="n">
        <v>27</v>
      </c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Boxer</t>
        </is>
      </c>
      <c r="B35" s="3" t="n">
        <v>6</v>
      </c>
      <c r="C35" s="3" t="n">
        <v>1</v>
      </c>
      <c r="D35" s="6">
        <f>IF(B35=0, "N/A", (C35-B35)/B35)</f>
        <v/>
      </c>
      <c r="E35" s="3" t="n">
        <v>30</v>
      </c>
      <c r="F35" s="3" t="n">
        <v>7</v>
      </c>
      <c r="G35" s="6">
        <f>IF(E35=0, "N/A", (F35-E35)/E35)</f>
        <v/>
      </c>
      <c r="H35" s="3" t="n">
        <v>110</v>
      </c>
      <c r="I35" s="3" t="n">
        <v>101</v>
      </c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 C Capucha Rustico</t>
        </is>
      </c>
      <c r="B36" s="3" t="n"/>
      <c r="C36" s="3" t="n"/>
      <c r="D36" s="6">
        <f>IF(B36=0, "N/A", (C36-B36)/B36)</f>
        <v/>
      </c>
      <c r="E36" s="3" t="n"/>
      <c r="F36" s="3" t="n"/>
      <c r="G36" s="6">
        <f>IF(E36=0, "N/A", (F36-E36)/E36)</f>
        <v/>
      </c>
      <c r="H36" s="3" t="n"/>
      <c r="I36" s="3" t="n">
        <v>4</v>
      </c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 Cuello Redondo</t>
        </is>
      </c>
      <c r="B37" s="3" t="n">
        <v>76</v>
      </c>
      <c r="C37" s="3" t="n">
        <v>5</v>
      </c>
      <c r="D37" s="6">
        <f>IF(B37=0, "N/A", (C37-B37)/B37)</f>
        <v/>
      </c>
      <c r="E37" s="3" t="n">
        <v>93</v>
      </c>
      <c r="F37" s="3" t="n">
        <v>6</v>
      </c>
      <c r="G37" s="6">
        <f>IF(E37=0, "N/A", (F37-E37)/E37)</f>
        <v/>
      </c>
      <c r="H37" s="3" t="n">
        <v>212</v>
      </c>
      <c r="I37" s="3" t="n">
        <v>92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Buzos C Capucha</t>
        </is>
      </c>
      <c r="B38" s="3" t="n">
        <v>37</v>
      </c>
      <c r="C38" s="3" t="n">
        <v>23</v>
      </c>
      <c r="D38" s="6">
        <f>IF(B38=0, "N/A", (C38-B38)/B38)</f>
        <v/>
      </c>
      <c r="E38" s="3" t="n">
        <v>33</v>
      </c>
      <c r="F38" s="3" t="n">
        <v>6</v>
      </c>
      <c r="G38" s="6">
        <f>IF(E38=0, "N/A", (F38-E38)/E38)</f>
        <v/>
      </c>
      <c r="H38" s="3" t="n">
        <v>128</v>
      </c>
      <c r="I38" s="3" t="n">
        <v>105</v>
      </c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Buzos C Redondo Rustico</t>
        </is>
      </c>
      <c r="B39" s="3" t="n">
        <v>1</v>
      </c>
      <c r="C39" s="3" t="n"/>
      <c r="D39" s="6">
        <f>IF(B39=0, "N/A", (C39-B39)/B39)</f>
        <v/>
      </c>
      <c r="E39" s="3" t="n"/>
      <c r="F39" s="3" t="n"/>
      <c r="G39" s="6">
        <f>IF(E39=0, "N/A", (F39-E39)/E39)</f>
        <v/>
      </c>
      <c r="H39" s="3" t="n"/>
      <c r="I39" s="3" t="n"/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Buzos Medio Cierre</t>
        </is>
      </c>
      <c r="B40" s="3" t="n">
        <v>8</v>
      </c>
      <c r="C40" s="3" t="n">
        <v>11</v>
      </c>
      <c r="D40" s="6">
        <f>IF(B40=0, "N/A", (C40-B40)/B40)</f>
        <v/>
      </c>
      <c r="E40" s="3" t="n">
        <v>6</v>
      </c>
      <c r="F40" s="3" t="n">
        <v>14</v>
      </c>
      <c r="G40" s="6">
        <f>IF(E40=0, "N/A", (F40-E40)/E40)</f>
        <v/>
      </c>
      <c r="H40" s="3" t="n">
        <v>7</v>
      </c>
      <c r="I40" s="3" t="n">
        <v>30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Calzado</t>
        </is>
      </c>
      <c r="B41" s="3" t="n">
        <v>6</v>
      </c>
      <c r="C41" s="3" t="n"/>
      <c r="D41" s="6">
        <f>IF(B41=0, "N/A", (C41-B41)/B41)</f>
        <v/>
      </c>
      <c r="E41" s="3" t="n">
        <v>2</v>
      </c>
      <c r="F41" s="3" t="n">
        <v>-1</v>
      </c>
      <c r="G41" s="6">
        <f>IF(E41=0, "N/A", (F41-E41)/E41)</f>
        <v/>
      </c>
      <c r="H41" s="3" t="n">
        <v>5</v>
      </c>
      <c r="I41" s="3" t="n"/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Camisas</t>
        </is>
      </c>
      <c r="B42" s="3" t="n">
        <v>11</v>
      </c>
      <c r="C42" s="3" t="n">
        <v>2</v>
      </c>
      <c r="D42" s="6">
        <f>IF(B42=0, "N/A", (C42-B42)/B42)</f>
        <v/>
      </c>
      <c r="E42" s="3" t="n">
        <v>9</v>
      </c>
      <c r="F42" s="3" t="n">
        <v>7</v>
      </c>
      <c r="G42" s="6">
        <f>IF(E42=0, "N/A", (F42-E42)/E42)</f>
        <v/>
      </c>
      <c r="H42" s="3" t="n">
        <v>17</v>
      </c>
      <c r="I42" s="3" t="n">
        <v>6</v>
      </c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Camisetas Manga Larga</t>
        </is>
      </c>
      <c r="B43" s="3" t="n">
        <v>29</v>
      </c>
      <c r="C43" s="3" t="n">
        <v>28</v>
      </c>
      <c r="D43" s="6">
        <f>IF(B43=0, "N/A", (C43-B43)/B43)</f>
        <v/>
      </c>
      <c r="E43" s="3" t="n">
        <v>61</v>
      </c>
      <c r="F43" s="3" t="n">
        <v>69</v>
      </c>
      <c r="G43" s="6">
        <f>IF(E43=0, "N/A", (F43-E43)/E43)</f>
        <v/>
      </c>
      <c r="H43" s="3" t="n">
        <v>69</v>
      </c>
      <c r="I43" s="3" t="n">
        <v>35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Campera S Capucha</t>
        </is>
      </c>
      <c r="B44" s="3" t="n">
        <v>4</v>
      </c>
      <c r="C44" s="3" t="n">
        <v>1</v>
      </c>
      <c r="D44" s="6">
        <f>IF(B44=0, "N/A", (C44-B44)/B44)</f>
        <v/>
      </c>
      <c r="E44" s="3" t="n">
        <v>14</v>
      </c>
      <c r="F44" s="3" t="n"/>
      <c r="G44" s="6">
        <f>IF(E44=0, "N/A", (F44-E44)/E44)</f>
        <v/>
      </c>
      <c r="H44" s="3" t="n">
        <v>14</v>
      </c>
      <c r="I44" s="3" t="n">
        <v>3</v>
      </c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Camperas Capucha</t>
        </is>
      </c>
      <c r="B45" s="3" t="n">
        <v>26</v>
      </c>
      <c r="C45" s="3" t="n">
        <v>31</v>
      </c>
      <c r="D45" s="6">
        <f>IF(B45=0, "N/A", (C45-B45)/B45)</f>
        <v/>
      </c>
      <c r="E45" s="3" t="n">
        <v>12</v>
      </c>
      <c r="F45" s="3" t="n">
        <v>57</v>
      </c>
      <c r="G45" s="6">
        <f>IF(E45=0, "N/A", (F45-E45)/E45)</f>
        <v/>
      </c>
      <c r="H45" s="3" t="n">
        <v>100</v>
      </c>
      <c r="I45" s="3" t="n">
        <v>89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Camperas De Abrigo</t>
        </is>
      </c>
      <c r="B46" s="3" t="n"/>
      <c r="C46" s="3" t="n">
        <v>4</v>
      </c>
      <c r="D46" s="6">
        <f>IF(B46=0, "N/A", (C46-B46)/B46)</f>
        <v/>
      </c>
      <c r="E46" s="3" t="n"/>
      <c r="F46" s="3" t="n">
        <v>4</v>
      </c>
      <c r="G46" s="6">
        <f>IF(E46=0, "N/A", (F46-E46)/E46)</f>
        <v/>
      </c>
      <c r="H46" s="3" t="n"/>
      <c r="I46" s="3" t="n">
        <v>7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Chombas</t>
        </is>
      </c>
      <c r="B47" s="3" t="n">
        <v>37</v>
      </c>
      <c r="C47" s="3" t="n">
        <v>20</v>
      </c>
      <c r="D47" s="6">
        <f>IF(B47=0, "N/A", (C47-B47)/B47)</f>
        <v/>
      </c>
      <c r="E47" s="3" t="n">
        <v>35</v>
      </c>
      <c r="F47" s="3" t="n">
        <v>10</v>
      </c>
      <c r="G47" s="6">
        <f>IF(E47=0, "N/A", (F47-E47)/E47)</f>
        <v/>
      </c>
      <c r="H47" s="3" t="n">
        <v>65</v>
      </c>
      <c r="I47" s="3" t="n">
        <v>46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Chombas Manga Larga</t>
        </is>
      </c>
      <c r="B48" s="3" t="n">
        <v>2</v>
      </c>
      <c r="C48" s="3" t="n">
        <v>13</v>
      </c>
      <c r="D48" s="6">
        <f>IF(B48=0, "N/A", (C48-B48)/B48)</f>
        <v/>
      </c>
      <c r="E48" s="3" t="n">
        <v>1</v>
      </c>
      <c r="F48" s="3" t="n">
        <v>28</v>
      </c>
      <c r="G48" s="6">
        <f>IF(E48=0, "N/A", (F48-E48)/E48)</f>
        <v/>
      </c>
      <c r="H48" s="3" t="n"/>
      <c r="I48" s="3" t="n">
        <v>8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Jeans</t>
        </is>
      </c>
      <c r="B49" s="3" t="n">
        <v>50</v>
      </c>
      <c r="C49" s="3" t="n">
        <v>72</v>
      </c>
      <c r="D49" s="6">
        <f>IF(B49=0, "N/A", (C49-B49)/B49)</f>
        <v/>
      </c>
      <c r="E49" s="3" t="n">
        <v>123</v>
      </c>
      <c r="F49" s="3" t="n">
        <v>91</v>
      </c>
      <c r="G49" s="6">
        <f>IF(E49=0, "N/A", (F49-E49)/E49)</f>
        <v/>
      </c>
      <c r="H49" s="3" t="n">
        <v>240</v>
      </c>
      <c r="I49" s="3" t="n">
        <v>229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Jeans De Segunda</t>
        </is>
      </c>
      <c r="B50" s="3" t="n"/>
      <c r="C50" s="3" t="n"/>
      <c r="D50" s="6">
        <f>IF(B50=0, "N/A", (C50-B50)/B50)</f>
        <v/>
      </c>
      <c r="E50" s="3" t="n"/>
      <c r="F50" s="3" t="n"/>
      <c r="G50" s="6">
        <f>IF(E50=0, "N/A", (F50-E50)/E50)</f>
        <v/>
      </c>
      <c r="H50" s="3" t="n"/>
      <c r="I50" s="3" t="n"/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Jogging</t>
        </is>
      </c>
      <c r="B51" s="3" t="n">
        <v>7</v>
      </c>
      <c r="C51" s="3" t="n">
        <v>3</v>
      </c>
      <c r="D51" s="6">
        <f>IF(B51=0, "N/A", (C51-B51)/B51)</f>
        <v/>
      </c>
      <c r="E51" s="3" t="n">
        <v>5</v>
      </c>
      <c r="F51" s="3" t="n">
        <v>3</v>
      </c>
      <c r="G51" s="6">
        <f>IF(E51=0, "N/A", (F51-E51)/E51)</f>
        <v/>
      </c>
      <c r="H51" s="3" t="n">
        <v>78</v>
      </c>
      <c r="I51" s="3" t="n">
        <v>56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Jogging Corto</t>
        </is>
      </c>
      <c r="B52" s="3" t="n"/>
      <c r="C52" s="3" t="n">
        <v>3</v>
      </c>
      <c r="D52" s="6">
        <f>IF(B52=0, "N/A", (C52-B52)/B52)</f>
        <v/>
      </c>
      <c r="E52" s="3" t="n"/>
      <c r="F52" s="3" t="n">
        <v>3</v>
      </c>
      <c r="G52" s="6">
        <f>IF(E52=0, "N/A", (F52-E52)/E52)</f>
        <v/>
      </c>
      <c r="H52" s="3" t="n">
        <v>3</v>
      </c>
      <c r="I52" s="3" t="n">
        <v>3</v>
      </c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Musculosas</t>
        </is>
      </c>
      <c r="B53" s="3" t="n">
        <v>10</v>
      </c>
      <c r="C53" s="3" t="n"/>
      <c r="D53" s="6">
        <f>IF(B53=0, "N/A", (C53-B53)/B53)</f>
        <v/>
      </c>
      <c r="E53" s="3" t="n">
        <v>1</v>
      </c>
      <c r="F53" s="3" t="n">
        <v>-1</v>
      </c>
      <c r="G53" s="6">
        <f>IF(E53=0, "N/A", (F53-E53)/E53)</f>
        <v/>
      </c>
      <c r="H53" s="3" t="n">
        <v>8</v>
      </c>
      <c r="I53" s="3" t="n">
        <v>9</v>
      </c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Otro</t>
        </is>
      </c>
      <c r="B54" s="3" t="n"/>
      <c r="C54" s="3" t="n"/>
      <c r="D54" s="6">
        <f>IF(B54=0, "N/A", (C54-B54)/B54)</f>
        <v/>
      </c>
      <c r="E54" s="3" t="n">
        <v>3</v>
      </c>
      <c r="F54" s="3" t="n">
        <v>1</v>
      </c>
      <c r="G54" s="6">
        <f>IF(E54=0, "N/A", (F54-E54)/E54)</f>
        <v/>
      </c>
      <c r="H54" s="3" t="n">
        <v>1</v>
      </c>
      <c r="I54" s="3" t="n"/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2" t="inlineStr">
        <is>
          <t>Remeras</t>
        </is>
      </c>
      <c r="B55" s="3" t="n">
        <v>122</v>
      </c>
      <c r="C55" s="3" t="n">
        <v>192</v>
      </c>
      <c r="D55" s="6">
        <f>IF(B55=0, "N/A", (C55-B55)/B55)</f>
        <v/>
      </c>
      <c r="E55" s="3" t="n">
        <v>234</v>
      </c>
      <c r="F55" s="3" t="n">
        <v>297</v>
      </c>
      <c r="G55" s="6">
        <f>IF(E55=0, "N/A", (F55-E55)/E55)</f>
        <v/>
      </c>
      <c r="H55" s="3" t="n">
        <v>688</v>
      </c>
      <c r="I55" s="3" t="n">
        <v>662</v>
      </c>
      <c r="J55" s="6">
        <f>IF(H55=0, "N/A", (I55-H55)/H55)</f>
        <v/>
      </c>
      <c r="K55" s="3">
        <f>B55+E55+H55</f>
        <v/>
      </c>
      <c r="L55" s="3">
        <f>C55+F55+I55</f>
        <v/>
      </c>
      <c r="M55" s="6">
        <f>IF(K55=0, "N/A", (L55-K55)/K55)</f>
        <v/>
      </c>
    </row>
    <row r="56">
      <c r="A56" s="2" t="inlineStr">
        <is>
          <t>Sweaters</t>
        </is>
      </c>
      <c r="B56" s="3" t="n">
        <v>3</v>
      </c>
      <c r="C56" s="3" t="n">
        <v>1</v>
      </c>
      <c r="D56" s="6">
        <f>IF(B56=0, "N/A", (C56-B56)/B56)</f>
        <v/>
      </c>
      <c r="E56" s="3" t="n">
        <v>3</v>
      </c>
      <c r="F56" s="3" t="n"/>
      <c r="G56" s="6">
        <f>IF(E56=0, "N/A", (F56-E56)/E56)</f>
        <v/>
      </c>
      <c r="H56" s="3" t="n">
        <v>19</v>
      </c>
      <c r="I56" s="3" t="n">
        <v>4</v>
      </c>
      <c r="J56" s="6">
        <f>IF(H56=0, "N/A", (I56-H56)/H56)</f>
        <v/>
      </c>
      <c r="K56" s="3">
        <f>B56+E56+H56</f>
        <v/>
      </c>
      <c r="L56" s="3">
        <f>C56+F56+I56</f>
        <v/>
      </c>
      <c r="M56" s="6">
        <f>IF(K56=0, "N/A", (L56-K56)/K56)</f>
        <v/>
      </c>
    </row>
    <row r="57">
      <c r="A57" s="2" t="inlineStr">
        <is>
          <t>Trajes De Baño</t>
        </is>
      </c>
      <c r="B57" s="3" t="n">
        <v>4</v>
      </c>
      <c r="C57" s="3" t="n"/>
      <c r="D57" s="6">
        <f>IF(B57=0, "N/A", (C57-B57)/B57)</f>
        <v/>
      </c>
      <c r="E57" s="3" t="n">
        <v>5</v>
      </c>
      <c r="F57" s="3" t="n"/>
      <c r="G57" s="6">
        <f>IF(E57=0, "N/A", (F57-E57)/E57)</f>
        <v/>
      </c>
      <c r="H57" s="3" t="n">
        <v>11</v>
      </c>
      <c r="I57" s="3" t="n">
        <v>12</v>
      </c>
      <c r="J57" s="6">
        <f>IF(H57=0, "N/A", (I57-H57)/H57)</f>
        <v/>
      </c>
      <c r="K57" s="3">
        <f>B57+E57+H57</f>
        <v/>
      </c>
      <c r="L57" s="3">
        <f>C57+F57+I57</f>
        <v/>
      </c>
      <c r="M57" s="6">
        <f>IF(K57=0, "N/A", (L57-K57)/K57)</f>
        <v/>
      </c>
    </row>
    <row r="58">
      <c r="A58" s="5" t="inlineStr">
        <is>
          <t>Totals</t>
        </is>
      </c>
      <c r="B58" s="4">
        <f>SUM($B33:$B57)</f>
        <v/>
      </c>
      <c r="C58" s="4">
        <f>SUM($C33:$C57)</f>
        <v/>
      </c>
      <c r="D58" s="7">
        <f>IF(B58=0, "N/A", (C58-B58)/B58)</f>
        <v/>
      </c>
      <c r="E58" s="4">
        <f>SUM($E33:$E57)</f>
        <v/>
      </c>
      <c r="F58" s="4">
        <f>SUM($F33:$F57)</f>
        <v/>
      </c>
      <c r="G58" s="7">
        <f>IF(E58=0, "N/A", (F58-E58)/E58)</f>
        <v/>
      </c>
      <c r="H58" s="4">
        <f>SUM($H33:$H57)</f>
        <v/>
      </c>
      <c r="I58" s="4">
        <f>SUM($I33:$I57)</f>
        <v/>
      </c>
      <c r="J58" s="7">
        <f>IF(H58=0, "N/A", (I58-H58)/H58)</f>
        <v/>
      </c>
      <c r="K58" s="4">
        <f>SUM($K33:$K57)</f>
        <v/>
      </c>
      <c r="L58" s="4">
        <f>SUM($L33:$L57)</f>
        <v/>
      </c>
      <c r="M58" s="7">
        <f>IF(K58=0, "N/A", (L58-K58)/K58)</f>
        <v/>
      </c>
    </row>
    <row r="61">
      <c r="A61" s="1" t="inlineStr">
        <is>
          <t>YoY Units Sold Comparison - Branch Group 2</t>
        </is>
      </c>
    </row>
    <row r="62">
      <c r="B62" s="1" t="inlineStr">
        <is>
          <t>VIRREYES</t>
        </is>
      </c>
      <c r="C62" s="1" t="n"/>
      <c r="D62" s="1" t="n"/>
    </row>
    <row r="63">
      <c r="A63" s="1" t="inlineStr">
        <is>
          <t>Familias</t>
        </is>
      </c>
      <c r="B63" s="1" t="n">
        <v>2025</v>
      </c>
      <c r="C63" s="1" t="n">
        <v>2026</v>
      </c>
      <c r="D63" s="1" t="inlineStr">
        <is>
          <t>%</t>
        </is>
      </c>
    </row>
    <row r="64">
      <c r="A64" s="2" t="inlineStr">
        <is>
          <t>Accesorios</t>
        </is>
      </c>
      <c r="B64" s="3" t="n">
        <v>7</v>
      </c>
      <c r="C64" s="3" t="n"/>
      <c r="D64" s="6">
        <f>IF(B64=0, "N/A", (C64-B64)/B64)</f>
        <v/>
      </c>
    </row>
    <row r="65">
      <c r="A65" s="2" t="inlineStr">
        <is>
          <t>Bermudas</t>
        </is>
      </c>
      <c r="B65" s="3" t="n">
        <v>1</v>
      </c>
      <c r="C65" s="3" t="n">
        <v>-1</v>
      </c>
      <c r="D65" s="6">
        <f>IF(B65=0, "N/A", (C65-B65)/B65)</f>
        <v/>
      </c>
    </row>
    <row r="66">
      <c r="A66" s="2" t="inlineStr">
        <is>
          <t>Boxer</t>
        </is>
      </c>
      <c r="B66" s="3" t="n">
        <v>3</v>
      </c>
      <c r="C66" s="3" t="n">
        <v>3</v>
      </c>
      <c r="D66" s="6">
        <f>IF(B66=0, "N/A", (C66-B66)/B66)</f>
        <v/>
      </c>
    </row>
    <row r="67">
      <c r="A67" s="2" t="inlineStr">
        <is>
          <t>Buzo Cuello Redondo</t>
        </is>
      </c>
      <c r="B67" s="3" t="n">
        <v>8</v>
      </c>
      <c r="C67" s="3" t="n">
        <v>2</v>
      </c>
      <c r="D67" s="6">
        <f>IF(B67=0, "N/A", (C67-B67)/B67)</f>
        <v/>
      </c>
    </row>
    <row r="68">
      <c r="A68" s="2" t="inlineStr">
        <is>
          <t>Buzos C Capucha</t>
        </is>
      </c>
      <c r="B68" s="3" t="n">
        <v>16</v>
      </c>
      <c r="C68" s="3" t="n">
        <v>8</v>
      </c>
      <c r="D68" s="6">
        <f>IF(B68=0, "N/A", (C68-B68)/B68)</f>
        <v/>
      </c>
    </row>
    <row r="69">
      <c r="A69" s="2" t="inlineStr">
        <is>
          <t>Calzado</t>
        </is>
      </c>
      <c r="B69" s="3" t="n">
        <v>1</v>
      </c>
      <c r="C69" s="3" t="n">
        <v>1</v>
      </c>
      <c r="D69" s="6">
        <f>IF(B69=0, "N/A", (C69-B69)/B69)</f>
        <v/>
      </c>
    </row>
    <row r="70">
      <c r="A70" s="2" t="inlineStr">
        <is>
          <t>Camisetas Manga Larga</t>
        </is>
      </c>
      <c r="B70" s="3" t="n">
        <v>3</v>
      </c>
      <c r="C70" s="3" t="n"/>
      <c r="D70" s="6">
        <f>IF(B70=0, "N/A", (C70-B70)/B70)</f>
        <v/>
      </c>
    </row>
    <row r="71">
      <c r="A71" s="2" t="inlineStr">
        <is>
          <t>Camperas Capucha</t>
        </is>
      </c>
      <c r="B71" s="3" t="n">
        <v>4</v>
      </c>
      <c r="C71" s="3" t="n">
        <v>2</v>
      </c>
      <c r="D71" s="6">
        <f>IF(B71=0, "N/A", (C71-B71)/B71)</f>
        <v/>
      </c>
    </row>
    <row r="72">
      <c r="A72" s="2" t="inlineStr">
        <is>
          <t>Camperas De Abrigo</t>
        </is>
      </c>
      <c r="B72" s="3" t="n">
        <v>1</v>
      </c>
      <c r="C72" s="3" t="n"/>
      <c r="D72" s="6">
        <f>IF(B72=0, "N/A", (C72-B72)/B72)</f>
        <v/>
      </c>
    </row>
    <row r="73">
      <c r="A73" s="2" t="inlineStr">
        <is>
          <t>Chombas</t>
        </is>
      </c>
      <c r="B73" s="3" t="n"/>
      <c r="C73" s="3" t="n">
        <v>1</v>
      </c>
      <c r="D73" s="6">
        <f>IF(B73=0, "N/A", (C73-B73)/B73)</f>
        <v/>
      </c>
    </row>
    <row r="74">
      <c r="A74" s="2" t="inlineStr">
        <is>
          <t>Chombas Manga Larga</t>
        </is>
      </c>
      <c r="B74" s="3" t="n"/>
      <c r="C74" s="3" t="n">
        <v>1</v>
      </c>
      <c r="D74" s="6">
        <f>IF(B74=0, "N/A", (C74-B74)/B74)</f>
        <v/>
      </c>
    </row>
    <row r="75">
      <c r="A75" s="2" t="inlineStr">
        <is>
          <t>Jeans</t>
        </is>
      </c>
      <c r="B75" s="3" t="n">
        <v>15</v>
      </c>
      <c r="C75" s="3" t="n">
        <v>4</v>
      </c>
      <c r="D75" s="6">
        <f>IF(B75=0, "N/A", (C75-B75)/B75)</f>
        <v/>
      </c>
    </row>
    <row r="76">
      <c r="A76" s="2" t="inlineStr">
        <is>
          <t>Jogging</t>
        </is>
      </c>
      <c r="B76" s="3" t="n">
        <v>1</v>
      </c>
      <c r="C76" s="3" t="n">
        <v>1</v>
      </c>
      <c r="D76" s="6">
        <f>IF(B76=0, "N/A", (C76-B76)/B76)</f>
        <v/>
      </c>
    </row>
    <row r="77">
      <c r="A77" s="2" t="inlineStr">
        <is>
          <t>Otro</t>
        </is>
      </c>
      <c r="B77" s="3" t="n">
        <v>1</v>
      </c>
      <c r="C77" s="3" t="n"/>
      <c r="D77" s="6">
        <f>IF(B77=0, "N/A", (C77-B77)/B77)</f>
        <v/>
      </c>
    </row>
    <row r="78">
      <c r="A78" s="2" t="inlineStr">
        <is>
          <t>Remeras</t>
        </is>
      </c>
      <c r="B78" s="3" t="n">
        <v>32</v>
      </c>
      <c r="C78" s="3" t="n">
        <v>41</v>
      </c>
      <c r="D78" s="6">
        <f>IF(B78=0, "N/A", (C78-B78)/B78)</f>
        <v/>
      </c>
    </row>
    <row r="79">
      <c r="A79" s="2" t="inlineStr">
        <is>
          <t>Sweaters</t>
        </is>
      </c>
      <c r="B79" s="3" t="n"/>
      <c r="C79" s="3" t="n">
        <v>1</v>
      </c>
      <c r="D79" s="6">
        <f>IF(B79=0, "N/A", (C79-B79)/B79)</f>
        <v/>
      </c>
    </row>
    <row r="80">
      <c r="A80" s="5" t="inlineStr">
        <is>
          <t>Totals</t>
        </is>
      </c>
      <c r="B80" s="4">
        <f>SUM($B64:$B79)</f>
        <v/>
      </c>
      <c r="C80" s="4">
        <f>SUM($C64:$C79)</f>
        <v/>
      </c>
      <c r="D80" s="7">
        <f>IF(B80=0, "N/A", (C80-B80)/B80)</f>
        <v/>
      </c>
    </row>
    <row r="83">
      <c r="A83" s="1" t="inlineStr">
        <is>
          <t>Sales Amount from March 01, 2026 to March 31, 2026</t>
        </is>
      </c>
    </row>
    <row r="84">
      <c r="A84" s="1" t="inlineStr">
        <is>
          <t>Familias</t>
        </is>
      </c>
      <c r="B84" s="1" t="inlineStr">
        <is>
          <t>LIBERT.R</t>
        </is>
      </c>
      <c r="C84" s="1" t="inlineStr">
        <is>
          <t>PASO.R</t>
        </is>
      </c>
      <c r="D84" s="1" t="inlineStr">
        <is>
          <t>P.OESTE</t>
        </is>
      </c>
      <c r="E84" s="1" t="inlineStr">
        <is>
          <t>VIRREYES</t>
        </is>
      </c>
      <c r="F84" s="1" t="inlineStr">
        <is>
          <t>Totals</t>
        </is>
      </c>
    </row>
    <row r="85">
      <c r="A85" s="2" t="inlineStr">
        <is>
          <t>Accesorios</t>
        </is>
      </c>
      <c r="B85" s="8" t="n">
        <v>129160</v>
      </c>
      <c r="C85" s="8" t="n">
        <v>477756.095</v>
      </c>
      <c r="D85" s="8" t="n">
        <v>1162322.4552</v>
      </c>
      <c r="E85" s="8" t="n"/>
      <c r="F85" s="9">
        <f>B85+C85+D85+E85</f>
        <v/>
      </c>
    </row>
    <row r="86">
      <c r="A86" s="2" t="inlineStr">
        <is>
          <t>Bermudas</t>
        </is>
      </c>
      <c r="B86" s="8" t="n">
        <v>-30000</v>
      </c>
      <c r="C86" s="8" t="n">
        <v>194400</v>
      </c>
      <c r="D86" s="8" t="n">
        <v>881367.8601</v>
      </c>
      <c r="E86" s="8" t="n">
        <v>-36900</v>
      </c>
      <c r="F86" s="9">
        <f>B86+C86+D86+E86</f>
        <v/>
      </c>
    </row>
    <row r="87">
      <c r="A87" s="2" t="inlineStr">
        <is>
          <t>Boxer</t>
        </is>
      </c>
      <c r="B87" s="8" t="n">
        <v>15756.3231</v>
      </c>
      <c r="C87" s="8" t="n">
        <v>88200</v>
      </c>
      <c r="D87" s="8" t="n">
        <v>1503582.9249</v>
      </c>
      <c r="E87" s="8" t="n">
        <v>43500</v>
      </c>
      <c r="F87" s="9">
        <f>B87+C87+D87+E87</f>
        <v/>
      </c>
    </row>
    <row r="88">
      <c r="A88" s="2" t="inlineStr">
        <is>
          <t>Buzo C Capucha Rustico</t>
        </is>
      </c>
      <c r="B88" s="8" t="n"/>
      <c r="C88" s="8" t="n"/>
      <c r="D88" s="8" t="n">
        <v>210612.5361</v>
      </c>
      <c r="E88" s="8" t="n"/>
      <c r="F88" s="9">
        <f>B88+C88+D88+E88</f>
        <v/>
      </c>
    </row>
    <row r="89">
      <c r="A89" s="2" t="inlineStr">
        <is>
          <t>Buzo Cuello Redondo</t>
        </is>
      </c>
      <c r="B89" s="8" t="n">
        <v>240000</v>
      </c>
      <c r="C89" s="8" t="n">
        <v>288000</v>
      </c>
      <c r="D89" s="8" t="n">
        <v>4261992.8319</v>
      </c>
      <c r="E89" s="8" t="n">
        <v>72200</v>
      </c>
      <c r="F89" s="9">
        <f>B89+C89+D89+E89</f>
        <v/>
      </c>
    </row>
    <row r="90">
      <c r="A90" s="2" t="inlineStr">
        <is>
          <t>Buzos C Capucha</t>
        </is>
      </c>
      <c r="B90" s="8" t="n">
        <v>1262700</v>
      </c>
      <c r="C90" s="8" t="n">
        <v>358100</v>
      </c>
      <c r="D90" s="8" t="n">
        <v>5945676.4474</v>
      </c>
      <c r="E90" s="8" t="n">
        <v>351750</v>
      </c>
      <c r="F90" s="9">
        <f>B90+C90+D90+E90</f>
        <v/>
      </c>
    </row>
    <row r="91">
      <c r="A91" s="2" t="inlineStr">
        <is>
          <t>Buzos Medio Cierre</t>
        </is>
      </c>
      <c r="B91" s="8" t="n">
        <v>430700</v>
      </c>
      <c r="C91" s="8" t="n">
        <v>547800</v>
      </c>
      <c r="D91" s="8" t="n">
        <v>1197000</v>
      </c>
      <c r="E91" s="8" t="n"/>
      <c r="F91" s="9">
        <f>B91+C91+D91+E91</f>
        <v/>
      </c>
    </row>
    <row r="92">
      <c r="A92" s="2" t="inlineStr">
        <is>
          <t>Calzado</t>
        </is>
      </c>
      <c r="B92" s="8" t="n"/>
      <c r="C92" s="8" t="n">
        <v>-11900</v>
      </c>
      <c r="D92" s="8" t="n"/>
      <c r="E92" s="8" t="n">
        <v>14900</v>
      </c>
      <c r="F92" s="9">
        <f>B92+C92+D92+E92</f>
        <v/>
      </c>
    </row>
    <row r="93">
      <c r="A93" s="2" t="inlineStr">
        <is>
          <t>Camisas</t>
        </is>
      </c>
      <c r="B93" s="8" t="n">
        <v>117800</v>
      </c>
      <c r="C93" s="8" t="n">
        <v>328623.4404</v>
      </c>
      <c r="D93" s="8" t="n">
        <v>223100</v>
      </c>
      <c r="E93" s="8" t="n"/>
      <c r="F93" s="9">
        <f>B93+C93+D93+E93</f>
        <v/>
      </c>
    </row>
    <row r="94">
      <c r="A94" s="2" t="inlineStr">
        <is>
          <t>Camisetas Manga Larga</t>
        </is>
      </c>
      <c r="B94" s="8" t="n">
        <v>626600</v>
      </c>
      <c r="C94" s="8" t="n">
        <v>1537295.4546</v>
      </c>
      <c r="D94" s="8" t="n">
        <v>894226.787</v>
      </c>
      <c r="E94" s="8" t="n"/>
      <c r="F94" s="9">
        <f>B94+C94+D94+E94</f>
        <v/>
      </c>
    </row>
    <row r="95">
      <c r="A95" s="2" t="inlineStr">
        <is>
          <t>Campera S Capucha</t>
        </is>
      </c>
      <c r="B95" s="8" t="n">
        <v>59900</v>
      </c>
      <c r="C95" s="8" t="n"/>
      <c r="D95" s="8" t="n">
        <v>204000</v>
      </c>
      <c r="E95" s="8" t="n"/>
      <c r="F95" s="9">
        <f>B95+C95+D95+E95</f>
        <v/>
      </c>
    </row>
    <row r="96">
      <c r="A96" s="2" t="inlineStr">
        <is>
          <t>Camperas Capucha</t>
        </is>
      </c>
      <c r="B96" s="8" t="n">
        <v>1718007.2244</v>
      </c>
      <c r="C96" s="8" t="n">
        <v>3154245.6548</v>
      </c>
      <c r="D96" s="8" t="n">
        <v>5479486.3711</v>
      </c>
      <c r="E96" s="8" t="n">
        <v>99800</v>
      </c>
      <c r="F96" s="9">
        <f>B96+C96+D96+E96</f>
        <v/>
      </c>
    </row>
    <row r="97">
      <c r="A97" s="2" t="inlineStr">
        <is>
          <t>Camperas De Abrigo</t>
        </is>
      </c>
      <c r="B97" s="8" t="n">
        <v>266900</v>
      </c>
      <c r="C97" s="8" t="n">
        <v>276000</v>
      </c>
      <c r="D97" s="8" t="n">
        <v>482300</v>
      </c>
      <c r="E97" s="8" t="n"/>
      <c r="F97" s="9">
        <f>B97+C97+D97+E97</f>
        <v/>
      </c>
    </row>
    <row r="98">
      <c r="A98" s="2" t="inlineStr">
        <is>
          <t>Chombas</t>
        </is>
      </c>
      <c r="B98" s="8" t="n">
        <v>424800</v>
      </c>
      <c r="C98" s="8" t="n">
        <v>179859.6808</v>
      </c>
      <c r="D98" s="8" t="n">
        <v>1286537.4886</v>
      </c>
      <c r="E98" s="8" t="n">
        <v>32500</v>
      </c>
      <c r="F98" s="9">
        <f>B98+C98+D98+E98</f>
        <v/>
      </c>
    </row>
    <row r="99">
      <c r="A99" s="2" t="inlineStr">
        <is>
          <t>Chombas Manga Larga</t>
        </is>
      </c>
      <c r="B99" s="8" t="n">
        <v>466700</v>
      </c>
      <c r="C99" s="8" t="n">
        <v>1007743.0923</v>
      </c>
      <c r="D99" s="8" t="n">
        <v>280604.4366</v>
      </c>
      <c r="E99" s="8" t="n">
        <v>26999.999</v>
      </c>
      <c r="F99" s="9">
        <f>B99+C99+D99+E99</f>
        <v/>
      </c>
    </row>
    <row r="100">
      <c r="A100" s="2" t="inlineStr">
        <is>
          <t>Jeans</t>
        </is>
      </c>
      <c r="B100" s="8" t="n">
        <v>3557381.5099</v>
      </c>
      <c r="C100" s="8" t="n">
        <v>4472521.1355</v>
      </c>
      <c r="D100" s="8" t="n">
        <v>13529899.7899</v>
      </c>
      <c r="E100" s="8" t="n">
        <v>124129.9982</v>
      </c>
      <c r="F100" s="9">
        <f>B100+C100+D100+E100</f>
        <v/>
      </c>
    </row>
    <row r="101">
      <c r="A101" s="2" t="inlineStr">
        <is>
          <t>Jeans De Segunda</t>
        </is>
      </c>
      <c r="B101" s="8" t="n">
        <v>-24057.45</v>
      </c>
      <c r="C101" s="8" t="n"/>
      <c r="D101" s="8" t="n"/>
      <c r="E101" s="8" t="n"/>
      <c r="F101" s="9">
        <f>B101+C101+D101+E101</f>
        <v/>
      </c>
    </row>
    <row r="102">
      <c r="A102" s="2" t="inlineStr">
        <is>
          <t>Jogging</t>
        </is>
      </c>
      <c r="B102" s="8" t="n">
        <v>129967.1601</v>
      </c>
      <c r="C102" s="8" t="n">
        <v>170000</v>
      </c>
      <c r="D102" s="8" t="n">
        <v>2486724.4844</v>
      </c>
      <c r="E102" s="8" t="n">
        <v>29500</v>
      </c>
      <c r="F102" s="9">
        <f>B102+C102+D102+E102</f>
        <v/>
      </c>
    </row>
    <row r="103">
      <c r="A103" s="2" t="inlineStr">
        <is>
          <t>Jogging Corto</t>
        </is>
      </c>
      <c r="B103" s="8" t="n">
        <v>119600</v>
      </c>
      <c r="C103" s="8" t="n">
        <v>119700</v>
      </c>
      <c r="D103" s="8" t="n">
        <v>108000</v>
      </c>
      <c r="E103" s="8" t="n"/>
      <c r="F103" s="9">
        <f>B103+C103+D103+E103</f>
        <v/>
      </c>
    </row>
    <row r="104">
      <c r="A104" s="2" t="inlineStr">
        <is>
          <t>Musculosas</t>
        </is>
      </c>
      <c r="B104" s="8" t="n"/>
      <c r="C104" s="8" t="n">
        <v>-11900</v>
      </c>
      <c r="D104" s="8" t="n">
        <v>180200</v>
      </c>
      <c r="E104" s="8" t="n"/>
      <c r="F104" s="9">
        <f>B104+C104+D104+E104</f>
        <v/>
      </c>
    </row>
    <row r="105">
      <c r="A105" s="2" t="inlineStr">
        <is>
          <t>Otro</t>
        </is>
      </c>
      <c r="B105" s="8" t="n"/>
      <c r="C105" s="8" t="n">
        <v>11000</v>
      </c>
      <c r="D105" s="8" t="n"/>
      <c r="E105" s="8" t="n"/>
      <c r="F105" s="9">
        <f>B105+C105+D105+E105</f>
        <v/>
      </c>
    </row>
    <row r="106">
      <c r="A106" s="2" t="inlineStr">
        <is>
          <t>Remeras</t>
        </is>
      </c>
      <c r="B106" s="8" t="n">
        <v>3993845.2325</v>
      </c>
      <c r="C106" s="8" t="n">
        <v>6320775.4466</v>
      </c>
      <c r="D106" s="8" t="n">
        <v>16452152.0868</v>
      </c>
      <c r="E106" s="8" t="n">
        <v>664610.0007</v>
      </c>
      <c r="F106" s="9">
        <f>B106+C106+D106+E106</f>
        <v/>
      </c>
    </row>
    <row r="107">
      <c r="A107" s="2" t="inlineStr">
        <is>
          <t>Sweaters</t>
        </is>
      </c>
      <c r="B107" s="8" t="n">
        <v>34500</v>
      </c>
      <c r="C107" s="8" t="n"/>
      <c r="D107" s="8" t="n">
        <v>220000</v>
      </c>
      <c r="E107" s="8" t="n">
        <v>32400.0021</v>
      </c>
      <c r="F107" s="9">
        <f>B107+C107+D107+E107</f>
        <v/>
      </c>
    </row>
    <row r="108">
      <c r="A108" s="2" t="inlineStr">
        <is>
          <t>Trajes De Baño</t>
        </is>
      </c>
      <c r="B108" s="8" t="n"/>
      <c r="C108" s="8" t="n"/>
      <c r="D108" s="8" t="n">
        <v>244000</v>
      </c>
      <c r="E108" s="8" t="n"/>
      <c r="F108" s="9">
        <f>B108+C108+D108+E108</f>
        <v/>
      </c>
    </row>
    <row r="109">
      <c r="A109" s="5" t="inlineStr">
        <is>
          <t>Totals</t>
        </is>
      </c>
      <c r="B109" s="9">
        <f>SUM($B$85:$B$108)</f>
        <v/>
      </c>
      <c r="C109" s="9">
        <f>SUM($C$85:$C$108)</f>
        <v/>
      </c>
      <c r="D109" s="9">
        <f>SUM($D$85:$D$108)</f>
        <v/>
      </c>
      <c r="E109" s="9">
        <f>SUM($E$85:$E$108)</f>
        <v/>
      </c>
      <c r="F109" s="9">
        <f>SUM($F$85:$F$108)</f>
        <v/>
      </c>
    </row>
    <row r="112">
      <c r="A112" s="1" t="inlineStr">
        <is>
          <t>YoY Sales Amount Comparison - Branch Group 1</t>
        </is>
      </c>
    </row>
    <row r="113">
      <c r="B113" s="1" t="inlineStr">
        <is>
          <t>LIBERT.R</t>
        </is>
      </c>
      <c r="C113" s="1" t="n"/>
      <c r="D113" s="1" t="n"/>
      <c r="E113" s="1" t="inlineStr">
        <is>
          <t>PASO.R</t>
        </is>
      </c>
      <c r="F113" s="1" t="n"/>
      <c r="G113" s="1" t="n"/>
      <c r="H113" s="1" t="inlineStr">
        <is>
          <t>P.OESTE</t>
        </is>
      </c>
      <c r="I113" s="1" t="n"/>
      <c r="J113" s="1" t="n"/>
      <c r="K113" s="1" t="inlineStr">
        <is>
          <t>Global</t>
        </is>
      </c>
      <c r="L113" s="1" t="n"/>
      <c r="M113" s="1" t="n"/>
    </row>
    <row r="114">
      <c r="A114" s="1" t="inlineStr">
        <is>
          <t>Familias</t>
        </is>
      </c>
      <c r="B114" s="1" t="n">
        <v>2025</v>
      </c>
      <c r="C114" s="1" t="n">
        <v>2026</v>
      </c>
      <c r="D114" s="1" t="inlineStr">
        <is>
          <t>%</t>
        </is>
      </c>
      <c r="E114" s="1" t="n">
        <v>2025</v>
      </c>
      <c r="F114" s="1" t="n">
        <v>2026</v>
      </c>
      <c r="G114" s="1" t="inlineStr">
        <is>
          <t>%</t>
        </is>
      </c>
      <c r="H114" s="1" t="n">
        <v>2025</v>
      </c>
      <c r="I114" s="1" t="n">
        <v>2026</v>
      </c>
      <c r="J114" s="1" t="inlineStr">
        <is>
          <t>%</t>
        </is>
      </c>
      <c r="K114" s="1" t="n">
        <v>2025</v>
      </c>
      <c r="L114" s="1" t="n">
        <v>2026</v>
      </c>
      <c r="M114" s="1" t="inlineStr">
        <is>
          <t>%</t>
        </is>
      </c>
    </row>
    <row r="115">
      <c r="A115" s="2" t="inlineStr">
        <is>
          <t>Accesorios</t>
        </is>
      </c>
      <c r="B115" s="8" t="n">
        <v>651500</v>
      </c>
      <c r="C115" s="8" t="n">
        <v>129160</v>
      </c>
      <c r="D115" s="6">
        <f>IF(B115=0, "N/A", (C115-B115)/B115)</f>
        <v/>
      </c>
      <c r="E115" s="8" t="n">
        <v>600450</v>
      </c>
      <c r="F115" s="8" t="n">
        <v>477756.095</v>
      </c>
      <c r="G115" s="6">
        <f>IF(E115=0, "N/A", (F115-E115)/E115)</f>
        <v/>
      </c>
      <c r="H115" s="8" t="n">
        <v>1348581.3519</v>
      </c>
      <c r="I115" s="8" t="n">
        <v>1162322.4552</v>
      </c>
      <c r="J115" s="6">
        <f>IF(H115=0, "N/A", (I115-H115)/H115)</f>
        <v/>
      </c>
      <c r="K115" s="8">
        <f>B115+E115+H115</f>
        <v/>
      </c>
      <c r="L115" s="8">
        <f>C115+F115+I115</f>
        <v/>
      </c>
      <c r="M115" s="6">
        <f>IF(K115=0, "N/A", (L115-K115)/K115)</f>
        <v/>
      </c>
    </row>
    <row r="116">
      <c r="A116" s="2" t="inlineStr">
        <is>
          <t>Bermudas</t>
        </is>
      </c>
      <c r="B116" s="8" t="n">
        <v>277513.3806</v>
      </c>
      <c r="C116" s="8" t="n">
        <v>-30000</v>
      </c>
      <c r="D116" s="6">
        <f>IF(B116=0, "N/A", (C116-B116)/B116)</f>
        <v/>
      </c>
      <c r="E116" s="8" t="n">
        <v>867352.1858</v>
      </c>
      <c r="F116" s="8" t="n">
        <v>194400</v>
      </c>
      <c r="G116" s="6">
        <f>IF(E116=0, "N/A", (F116-E116)/E116)</f>
        <v/>
      </c>
      <c r="H116" s="8" t="n">
        <v>2507589.3093</v>
      </c>
      <c r="I116" s="8" t="n">
        <v>881367.8601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Boxer</t>
        </is>
      </c>
      <c r="B117" s="8" t="n">
        <v>81000</v>
      </c>
      <c r="C117" s="8" t="n">
        <v>15756.3231</v>
      </c>
      <c r="D117" s="6">
        <f>IF(B117=0, "N/A", (C117-B117)/B117)</f>
        <v/>
      </c>
      <c r="E117" s="8" t="n">
        <v>403169.7548</v>
      </c>
      <c r="F117" s="8" t="n">
        <v>88200</v>
      </c>
      <c r="G117" s="6">
        <f>IF(E117=0, "N/A", (F117-E117)/E117)</f>
        <v/>
      </c>
      <c r="H117" s="8" t="n">
        <v>1483655.3354</v>
      </c>
      <c r="I117" s="8" t="n">
        <v>1503582.9249</v>
      </c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Buzo C Capucha Rustico</t>
        </is>
      </c>
      <c r="B118" s="8" t="n"/>
      <c r="C118" s="8" t="n"/>
      <c r="D118" s="6">
        <f>IF(B118=0, "N/A", (C118-B118)/B118)</f>
        <v/>
      </c>
      <c r="E118" s="8" t="n"/>
      <c r="F118" s="8" t="n"/>
      <c r="G118" s="6">
        <f>IF(E118=0, "N/A", (F118-E118)/E118)</f>
        <v/>
      </c>
      <c r="H118" s="8" t="n"/>
      <c r="I118" s="8" t="n">
        <v>210612.5361</v>
      </c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Buzo Cuello Redondo</t>
        </is>
      </c>
      <c r="B119" s="8" t="n">
        <v>2986976.9866</v>
      </c>
      <c r="C119" s="8" t="n">
        <v>240000</v>
      </c>
      <c r="D119" s="6">
        <f>IF(B119=0, "N/A", (C119-B119)/B119)</f>
        <v/>
      </c>
      <c r="E119" s="8" t="n">
        <v>3744174.6953</v>
      </c>
      <c r="F119" s="8" t="n">
        <v>288000</v>
      </c>
      <c r="G119" s="6">
        <f>IF(E119=0, "N/A", (F119-E119)/E119)</f>
        <v/>
      </c>
      <c r="H119" s="8" t="n">
        <v>8738090</v>
      </c>
      <c r="I119" s="8" t="n">
        <v>4261992.8319</v>
      </c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Buzos C Capucha</t>
        </is>
      </c>
      <c r="B120" s="8" t="n">
        <v>1855652.1406</v>
      </c>
      <c r="C120" s="8" t="n">
        <v>1262700</v>
      </c>
      <c r="D120" s="6">
        <f>IF(B120=0, "N/A", (C120-B120)/B120)</f>
        <v/>
      </c>
      <c r="E120" s="8" t="n">
        <v>1657200.4143</v>
      </c>
      <c r="F120" s="8" t="n">
        <v>358100</v>
      </c>
      <c r="G120" s="6">
        <f>IF(E120=0, "N/A", (F120-E120)/E120)</f>
        <v/>
      </c>
      <c r="H120" s="8" t="n">
        <v>6779186.0905</v>
      </c>
      <c r="I120" s="8" t="n">
        <v>5945676.4474</v>
      </c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Buzos C Redondo Rustico</t>
        </is>
      </c>
      <c r="B121" s="8" t="n">
        <v>39999</v>
      </c>
      <c r="C121" s="8" t="n"/>
      <c r="D121" s="6">
        <f>IF(B121=0, "N/A", (C121-B121)/B121)</f>
        <v/>
      </c>
      <c r="E121" s="8" t="n"/>
      <c r="F121" s="8" t="n"/>
      <c r="G121" s="6">
        <f>IF(E121=0, "N/A", (F121-E121)/E121)</f>
        <v/>
      </c>
      <c r="H121" s="8" t="n"/>
      <c r="I121" s="8" t="n"/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Buzos Medio Cierre</t>
        </is>
      </c>
      <c r="B122" s="8" t="n">
        <v>279300</v>
      </c>
      <c r="C122" s="8" t="n">
        <v>430700</v>
      </c>
      <c r="D122" s="6">
        <f>IF(B122=0, "N/A", (C122-B122)/B122)</f>
        <v/>
      </c>
      <c r="E122" s="8" t="n">
        <v>277200</v>
      </c>
      <c r="F122" s="8" t="n">
        <v>547800</v>
      </c>
      <c r="G122" s="6">
        <f>IF(E122=0, "N/A", (F122-E122)/E122)</f>
        <v/>
      </c>
      <c r="H122" s="8" t="n">
        <v>382700</v>
      </c>
      <c r="I122" s="8" t="n">
        <v>1197000</v>
      </c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Calzado</t>
        </is>
      </c>
      <c r="B123" s="8" t="n">
        <v>107400</v>
      </c>
      <c r="C123" s="8" t="n"/>
      <c r="D123" s="6">
        <f>IF(B123=0, "N/A", (C123-B123)/B123)</f>
        <v/>
      </c>
      <c r="E123" s="8" t="n">
        <v>35800</v>
      </c>
      <c r="F123" s="8" t="n">
        <v>-11900</v>
      </c>
      <c r="G123" s="6">
        <f>IF(E123=0, "N/A", (F123-E123)/E123)</f>
        <v/>
      </c>
      <c r="H123" s="8" t="n">
        <v>182550</v>
      </c>
      <c r="I123" s="8" t="n"/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Camisas</t>
        </is>
      </c>
      <c r="B124" s="8" t="n">
        <v>756700</v>
      </c>
      <c r="C124" s="8" t="n">
        <v>117800</v>
      </c>
      <c r="D124" s="6">
        <f>IF(B124=0, "N/A", (C124-B124)/B124)</f>
        <v/>
      </c>
      <c r="E124" s="8" t="n">
        <v>480050</v>
      </c>
      <c r="F124" s="8" t="n">
        <v>328623.4404</v>
      </c>
      <c r="G124" s="6">
        <f>IF(E124=0, "N/A", (F124-E124)/E124)</f>
        <v/>
      </c>
      <c r="H124" s="8" t="n">
        <v>1031450</v>
      </c>
      <c r="I124" s="8" t="n">
        <v>223100</v>
      </c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Camisetas Manga Larga</t>
        </is>
      </c>
      <c r="B125" s="8" t="n">
        <v>705612.3323</v>
      </c>
      <c r="C125" s="8" t="n">
        <v>626600</v>
      </c>
      <c r="D125" s="6">
        <f>IF(B125=0, "N/A", (C125-B125)/B125)</f>
        <v/>
      </c>
      <c r="E125" s="8" t="n">
        <v>1552892.487</v>
      </c>
      <c r="F125" s="8" t="n">
        <v>1537295.4546</v>
      </c>
      <c r="G125" s="6">
        <f>IF(E125=0, "N/A", (F125-E125)/E125)</f>
        <v/>
      </c>
      <c r="H125" s="8" t="n">
        <v>1641077.1893</v>
      </c>
      <c r="I125" s="8" t="n">
        <v>894226.787</v>
      </c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Campera S Capucha</t>
        </is>
      </c>
      <c r="B126" s="8" t="n">
        <v>189450</v>
      </c>
      <c r="C126" s="8" t="n">
        <v>59900</v>
      </c>
      <c r="D126" s="6">
        <f>IF(B126=0, "N/A", (C126-B126)/B126)</f>
        <v/>
      </c>
      <c r="E126" s="8" t="n">
        <v>807515.405</v>
      </c>
      <c r="F126" s="8" t="n"/>
      <c r="G126" s="6">
        <f>IF(E126=0, "N/A", (F126-E126)/E126)</f>
        <v/>
      </c>
      <c r="H126" s="8" t="n">
        <v>910981.7815</v>
      </c>
      <c r="I126" s="8" t="n">
        <v>204000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Camperas Capucha</t>
        </is>
      </c>
      <c r="B127" s="8" t="n">
        <v>1507400</v>
      </c>
      <c r="C127" s="8" t="n">
        <v>1718007.2244</v>
      </c>
      <c r="D127" s="6">
        <f>IF(B127=0, "N/A", (C127-B127)/B127)</f>
        <v/>
      </c>
      <c r="E127" s="8" t="n">
        <v>692500.5101</v>
      </c>
      <c r="F127" s="8" t="n">
        <v>3154245.6548</v>
      </c>
      <c r="G127" s="6">
        <f>IF(E127=0, "N/A", (F127-E127)/E127)</f>
        <v/>
      </c>
      <c r="H127" s="8" t="n">
        <v>6333934.1036</v>
      </c>
      <c r="I127" s="8" t="n">
        <v>5479486.3711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Camperas De Abrigo</t>
        </is>
      </c>
      <c r="B128" s="8" t="n"/>
      <c r="C128" s="8" t="n">
        <v>266900</v>
      </c>
      <c r="D128" s="6">
        <f>IF(B128=0, "N/A", (C128-B128)/B128)</f>
        <v/>
      </c>
      <c r="E128" s="8" t="n"/>
      <c r="F128" s="8" t="n">
        <v>276000</v>
      </c>
      <c r="G128" s="6">
        <f>IF(E128=0, "N/A", (F128-E128)/E128)</f>
        <v/>
      </c>
      <c r="H128" s="8" t="n"/>
      <c r="I128" s="8" t="n">
        <v>482300</v>
      </c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2" t="inlineStr">
        <is>
          <t>Chombas</t>
        </is>
      </c>
      <c r="B129" s="8" t="n">
        <v>754795.4584999999</v>
      </c>
      <c r="C129" s="8" t="n">
        <v>424800</v>
      </c>
      <c r="D129" s="6">
        <f>IF(B129=0, "N/A", (C129-B129)/B129)</f>
        <v/>
      </c>
      <c r="E129" s="8" t="n">
        <v>708707.6796</v>
      </c>
      <c r="F129" s="8" t="n">
        <v>179859.6808</v>
      </c>
      <c r="G129" s="6">
        <f>IF(E129=0, "N/A", (F129-E129)/E129)</f>
        <v/>
      </c>
      <c r="H129" s="8" t="n">
        <v>1984019.0165</v>
      </c>
      <c r="I129" s="8" t="n">
        <v>1286537.4886</v>
      </c>
      <c r="J129" s="6">
        <f>IF(H129=0, "N/A", (I129-H129)/H129)</f>
        <v/>
      </c>
      <c r="K129" s="8">
        <f>B129+E129+H129</f>
        <v/>
      </c>
      <c r="L129" s="8">
        <f>C129+F129+I129</f>
        <v/>
      </c>
      <c r="M129" s="6">
        <f>IF(K129=0, "N/A", (L129-K129)/K129)</f>
        <v/>
      </c>
    </row>
    <row r="130">
      <c r="A130" s="2" t="inlineStr">
        <is>
          <t>Chombas Manga Larga</t>
        </is>
      </c>
      <c r="B130" s="8" t="n">
        <v>76000</v>
      </c>
      <c r="C130" s="8" t="n">
        <v>466700</v>
      </c>
      <c r="D130" s="6">
        <f>IF(B130=0, "N/A", (C130-B130)/B130)</f>
        <v/>
      </c>
      <c r="E130" s="8" t="n">
        <v>39999</v>
      </c>
      <c r="F130" s="8" t="n">
        <v>1007743.0923</v>
      </c>
      <c r="G130" s="6">
        <f>IF(E130=0, "N/A", (F130-E130)/E130)</f>
        <v/>
      </c>
      <c r="H130" s="8" t="n"/>
      <c r="I130" s="8" t="n">
        <v>280604.4366</v>
      </c>
      <c r="J130" s="6">
        <f>IF(H130=0, "N/A", (I130-H130)/H130)</f>
        <v/>
      </c>
      <c r="K130" s="8">
        <f>B130+E130+H130</f>
        <v/>
      </c>
      <c r="L130" s="8">
        <f>C130+F130+I130</f>
        <v/>
      </c>
      <c r="M130" s="6">
        <f>IF(K130=0, "N/A", (L130-K130)/K130)</f>
        <v/>
      </c>
    </row>
    <row r="131">
      <c r="A131" s="2" t="inlineStr">
        <is>
          <t>Jeans</t>
        </is>
      </c>
      <c r="B131" s="8" t="n">
        <v>1892850</v>
      </c>
      <c r="C131" s="8" t="n">
        <v>3557381.5099</v>
      </c>
      <c r="D131" s="6">
        <f>IF(B131=0, "N/A", (C131-B131)/B131)</f>
        <v/>
      </c>
      <c r="E131" s="8" t="n">
        <v>5287360.8865</v>
      </c>
      <c r="F131" s="8" t="n">
        <v>4472521.1355</v>
      </c>
      <c r="G131" s="6">
        <f>IF(E131=0, "N/A", (F131-E131)/E131)</f>
        <v/>
      </c>
      <c r="H131" s="8" t="n">
        <v>12813643.9651</v>
      </c>
      <c r="I131" s="8" t="n">
        <v>13529899.7899</v>
      </c>
      <c r="J131" s="6">
        <f>IF(H131=0, "N/A", (I131-H131)/H131)</f>
        <v/>
      </c>
      <c r="K131" s="8">
        <f>B131+E131+H131</f>
        <v/>
      </c>
      <c r="L131" s="8">
        <f>C131+F131+I131</f>
        <v/>
      </c>
      <c r="M131" s="6">
        <f>IF(K131=0, "N/A", (L131-K131)/K131)</f>
        <v/>
      </c>
    </row>
    <row r="132">
      <c r="A132" s="2" t="inlineStr">
        <is>
          <t>Jeans De Segunda</t>
        </is>
      </c>
      <c r="B132" s="8" t="n"/>
      <c r="C132" s="8" t="n">
        <v>-24057.45</v>
      </c>
      <c r="D132" s="6">
        <f>IF(B132=0, "N/A", (C132-B132)/B132)</f>
        <v/>
      </c>
      <c r="E132" s="8" t="n"/>
      <c r="F132" s="8" t="n"/>
      <c r="G132" s="6">
        <f>IF(E132=0, "N/A", (F132-E132)/E132)</f>
        <v/>
      </c>
      <c r="H132" s="8" t="n"/>
      <c r="I132" s="8" t="n"/>
      <c r="J132" s="6">
        <f>IF(H132=0, "N/A", (I132-H132)/H132)</f>
        <v/>
      </c>
      <c r="K132" s="8">
        <f>B132+E132+H132</f>
        <v/>
      </c>
      <c r="L132" s="8">
        <f>C132+F132+I132</f>
        <v/>
      </c>
      <c r="M132" s="6">
        <f>IF(K132=0, "N/A", (L132-K132)/K132)</f>
        <v/>
      </c>
    </row>
    <row r="133">
      <c r="A133" s="2" t="inlineStr">
        <is>
          <t>Jogging</t>
        </is>
      </c>
      <c r="B133" s="8" t="n">
        <v>281500</v>
      </c>
      <c r="C133" s="8" t="n">
        <v>129967.1601</v>
      </c>
      <c r="D133" s="6">
        <f>IF(B133=0, "N/A", (C133-B133)/B133)</f>
        <v/>
      </c>
      <c r="E133" s="8" t="n">
        <v>218700</v>
      </c>
      <c r="F133" s="8" t="n">
        <v>170000</v>
      </c>
      <c r="G133" s="6">
        <f>IF(E133=0, "N/A", (F133-E133)/E133)</f>
        <v/>
      </c>
      <c r="H133" s="8" t="n">
        <v>3688504.0974</v>
      </c>
      <c r="I133" s="8" t="n">
        <v>2486724.4844</v>
      </c>
      <c r="J133" s="6">
        <f>IF(H133=0, "N/A", (I133-H133)/H133)</f>
        <v/>
      </c>
      <c r="K133" s="8">
        <f>B133+E133+H133</f>
        <v/>
      </c>
      <c r="L133" s="8">
        <f>C133+F133+I133</f>
        <v/>
      </c>
      <c r="M133" s="6">
        <f>IF(K133=0, "N/A", (L133-K133)/K133)</f>
        <v/>
      </c>
    </row>
    <row r="134">
      <c r="A134" s="2" t="inlineStr">
        <is>
          <t>Jogging Corto</t>
        </is>
      </c>
      <c r="B134" s="8" t="n"/>
      <c r="C134" s="8" t="n">
        <v>119600</v>
      </c>
      <c r="D134" s="6">
        <f>IF(B134=0, "N/A", (C134-B134)/B134)</f>
        <v/>
      </c>
      <c r="E134" s="8" t="n"/>
      <c r="F134" s="8" t="n">
        <v>119700</v>
      </c>
      <c r="G134" s="6">
        <f>IF(E134=0, "N/A", (F134-E134)/E134)</f>
        <v/>
      </c>
      <c r="H134" s="8" t="n">
        <v>59987.5526</v>
      </c>
      <c r="I134" s="8" t="n">
        <v>108000</v>
      </c>
      <c r="J134" s="6">
        <f>IF(H134=0, "N/A", (I134-H134)/H134)</f>
        <v/>
      </c>
      <c r="K134" s="8">
        <f>B134+E134+H134</f>
        <v/>
      </c>
      <c r="L134" s="8">
        <f>C134+F134+I134</f>
        <v/>
      </c>
      <c r="M134" s="6">
        <f>IF(K134=0, "N/A", (L134-K134)/K134)</f>
        <v/>
      </c>
    </row>
    <row r="135">
      <c r="A135" s="2" t="inlineStr">
        <is>
          <t>Musculosas</t>
        </is>
      </c>
      <c r="B135" s="8" t="n">
        <v>108505.9093</v>
      </c>
      <c r="C135" s="8" t="n"/>
      <c r="D135" s="6">
        <f>IF(B135=0, "N/A", (C135-B135)/B135)</f>
        <v/>
      </c>
      <c r="E135" s="8" t="n">
        <v>9900</v>
      </c>
      <c r="F135" s="8" t="n">
        <v>-11900</v>
      </c>
      <c r="G135" s="6">
        <f>IF(E135=0, "N/A", (F135-E135)/E135)</f>
        <v/>
      </c>
      <c r="H135" s="8" t="n">
        <v>122750</v>
      </c>
      <c r="I135" s="8" t="n">
        <v>180200</v>
      </c>
      <c r="J135" s="6">
        <f>IF(H135=0, "N/A", (I135-H135)/H135)</f>
        <v/>
      </c>
      <c r="K135" s="8">
        <f>B135+E135+H135</f>
        <v/>
      </c>
      <c r="L135" s="8">
        <f>C135+F135+I135</f>
        <v/>
      </c>
      <c r="M135" s="6">
        <f>IF(K135=0, "N/A", (L135-K135)/K135)</f>
        <v/>
      </c>
    </row>
    <row r="136">
      <c r="A136" s="2" t="inlineStr">
        <is>
          <t>Otro</t>
        </is>
      </c>
      <c r="B136" s="8" t="n"/>
      <c r="C136" s="8" t="n"/>
      <c r="D136" s="6">
        <f>IF(B136=0, "N/A", (C136-B136)/B136)</f>
        <v/>
      </c>
      <c r="E136" s="8" t="n">
        <v>33000</v>
      </c>
      <c r="F136" s="8" t="n">
        <v>11000</v>
      </c>
      <c r="G136" s="6">
        <f>IF(E136=0, "N/A", (F136-E136)/E136)</f>
        <v/>
      </c>
      <c r="H136" s="8" t="n">
        <v>1</v>
      </c>
      <c r="I136" s="8" t="n"/>
      <c r="J136" s="6">
        <f>IF(H136=0, "N/A", (I136-H136)/H136)</f>
        <v/>
      </c>
      <c r="K136" s="8">
        <f>B136+E136+H136</f>
        <v/>
      </c>
      <c r="L136" s="8">
        <f>C136+F136+I136</f>
        <v/>
      </c>
      <c r="M136" s="6">
        <f>IF(K136=0, "N/A", (L136-K136)/K136)</f>
        <v/>
      </c>
    </row>
    <row r="137">
      <c r="A137" s="2" t="inlineStr">
        <is>
          <t>Remeras</t>
        </is>
      </c>
      <c r="B137" s="8" t="n">
        <v>3064343.7921</v>
      </c>
      <c r="C137" s="8" t="n">
        <v>3993845.2325</v>
      </c>
      <c r="D137" s="6">
        <f>IF(B137=0, "N/A", (C137-B137)/B137)</f>
        <v/>
      </c>
      <c r="E137" s="8" t="n">
        <v>5651075.2386</v>
      </c>
      <c r="F137" s="8" t="n">
        <v>6320775.4466</v>
      </c>
      <c r="G137" s="6">
        <f>IF(E137=0, "N/A", (F137-E137)/E137)</f>
        <v/>
      </c>
      <c r="H137" s="8" t="n">
        <v>17103036.7715</v>
      </c>
      <c r="I137" s="8" t="n">
        <v>16452152.0868</v>
      </c>
      <c r="J137" s="6">
        <f>IF(H137=0, "N/A", (I137-H137)/H137)</f>
        <v/>
      </c>
      <c r="K137" s="8">
        <f>B137+E137+H137</f>
        <v/>
      </c>
      <c r="L137" s="8">
        <f>C137+F137+I137</f>
        <v/>
      </c>
      <c r="M137" s="6">
        <f>IF(K137=0, "N/A", (L137-K137)/K137)</f>
        <v/>
      </c>
    </row>
    <row r="138">
      <c r="A138" s="2" t="inlineStr">
        <is>
          <t>Sweaters</t>
        </is>
      </c>
      <c r="B138" s="8" t="n">
        <v>139700</v>
      </c>
      <c r="C138" s="8" t="n">
        <v>34500</v>
      </c>
      <c r="D138" s="6">
        <f>IF(B138=0, "N/A", (C138-B138)/B138)</f>
        <v/>
      </c>
      <c r="E138" s="8" t="n">
        <v>144700</v>
      </c>
      <c r="F138" s="8" t="n"/>
      <c r="G138" s="6">
        <f>IF(E138=0, "N/A", (F138-E138)/E138)</f>
        <v/>
      </c>
      <c r="H138" s="8" t="n">
        <v>963600</v>
      </c>
      <c r="I138" s="8" t="n">
        <v>220000</v>
      </c>
      <c r="J138" s="6">
        <f>IF(H138=0, "N/A", (I138-H138)/H138)</f>
        <v/>
      </c>
      <c r="K138" s="8">
        <f>B138+E138+H138</f>
        <v/>
      </c>
      <c r="L138" s="8">
        <f>C138+F138+I138</f>
        <v/>
      </c>
      <c r="M138" s="6">
        <f>IF(K138=0, "N/A", (L138-K138)/K138)</f>
        <v/>
      </c>
    </row>
    <row r="139">
      <c r="A139" s="2" t="inlineStr">
        <is>
          <t>Trajes De Baño</t>
        </is>
      </c>
      <c r="B139" s="8" t="n">
        <v>75600</v>
      </c>
      <c r="C139" s="8" t="n"/>
      <c r="D139" s="6">
        <f>IF(B139=0, "N/A", (C139-B139)/B139)</f>
        <v/>
      </c>
      <c r="E139" s="8" t="n">
        <v>93360.743</v>
      </c>
      <c r="F139" s="8" t="n"/>
      <c r="G139" s="6">
        <f>IF(E139=0, "N/A", (F139-E139)/E139)</f>
        <v/>
      </c>
      <c r="H139" s="8" t="n">
        <v>247466.6054</v>
      </c>
      <c r="I139" s="8" t="n">
        <v>244000</v>
      </c>
      <c r="J139" s="6">
        <f>IF(H139=0, "N/A", (I139-H139)/H139)</f>
        <v/>
      </c>
      <c r="K139" s="8">
        <f>B139+E139+H139</f>
        <v/>
      </c>
      <c r="L139" s="8">
        <f>C139+F139+I139</f>
        <v/>
      </c>
      <c r="M139" s="6">
        <f>IF(K139=0, "N/A", (L139-K139)/K139)</f>
        <v/>
      </c>
    </row>
    <row r="140">
      <c r="A140" s="5" t="inlineStr">
        <is>
          <t>Totals</t>
        </is>
      </c>
      <c r="B140" s="9">
        <f>SUM($B115:$B139)</f>
        <v/>
      </c>
      <c r="C140" s="9">
        <f>SUM($C115:$C139)</f>
        <v/>
      </c>
      <c r="D140" s="7">
        <f>IF(B140=0, "N/A", (C140-B140)/B140)</f>
        <v/>
      </c>
      <c r="E140" s="9">
        <f>SUM($E115:$E139)</f>
        <v/>
      </c>
      <c r="F140" s="9">
        <f>SUM($F115:$F139)</f>
        <v/>
      </c>
      <c r="G140" s="7">
        <f>IF(E140=0, "N/A", (F140-E140)/E140)</f>
        <v/>
      </c>
      <c r="H140" s="9">
        <f>SUM($H115:$H139)</f>
        <v/>
      </c>
      <c r="I140" s="9">
        <f>SUM($I115:$I139)</f>
        <v/>
      </c>
      <c r="J140" s="7">
        <f>IF(H140=0, "N/A", (I140-H140)/H140)</f>
        <v/>
      </c>
      <c r="K140" s="9">
        <f>SUM($K115:$K139)</f>
        <v/>
      </c>
      <c r="L140" s="9">
        <f>SUM($L115:$L139)</f>
        <v/>
      </c>
      <c r="M140" s="7">
        <f>IF(K140=0, "N/A", (L140-K140)/K140)</f>
        <v/>
      </c>
    </row>
    <row r="143">
      <c r="A143" s="1" t="inlineStr">
        <is>
          <t>YoY Sales Amount Comparison - Branch Group 2</t>
        </is>
      </c>
    </row>
    <row r="144">
      <c r="B144" s="1" t="inlineStr">
        <is>
          <t>VIRREYES</t>
        </is>
      </c>
      <c r="C144" s="1" t="n"/>
      <c r="D144" s="1" t="n"/>
    </row>
    <row r="145">
      <c r="A145" s="1" t="inlineStr">
        <is>
          <t>Familias</t>
        </is>
      </c>
      <c r="B145" s="1" t="n">
        <v>2025</v>
      </c>
      <c r="C145" s="1" t="n">
        <v>2026</v>
      </c>
      <c r="D145" s="1" t="inlineStr">
        <is>
          <t>%</t>
        </is>
      </c>
    </row>
    <row r="146">
      <c r="A146" s="2" t="inlineStr">
        <is>
          <t>Accesorios</t>
        </is>
      </c>
      <c r="B146" s="8" t="n">
        <v>166700</v>
      </c>
      <c r="C146" s="8" t="n"/>
      <c r="D146" s="6">
        <f>IF(B146=0, "N/A", (C146-B146)/B146)</f>
        <v/>
      </c>
    </row>
    <row r="147">
      <c r="A147" s="2" t="inlineStr">
        <is>
          <t>Bermudas</t>
        </is>
      </c>
      <c r="B147" s="8" t="n">
        <v>34900</v>
      </c>
      <c r="C147" s="8" t="n">
        <v>-36900</v>
      </c>
      <c r="D147" s="6">
        <f>IF(B147=0, "N/A", (C147-B147)/B147)</f>
        <v/>
      </c>
    </row>
    <row r="148">
      <c r="A148" s="2" t="inlineStr">
        <is>
          <t>Boxer</t>
        </is>
      </c>
      <c r="B148" s="8" t="n">
        <v>40500</v>
      </c>
      <c r="C148" s="8" t="n">
        <v>43500</v>
      </c>
      <c r="D148" s="6">
        <f>IF(B148=0, "N/A", (C148-B148)/B148)</f>
        <v/>
      </c>
    </row>
    <row r="149">
      <c r="A149" s="2" t="inlineStr">
        <is>
          <t>Buzo Cuello Redondo</t>
        </is>
      </c>
      <c r="B149" s="8" t="n">
        <v>244499</v>
      </c>
      <c r="C149" s="8" t="n">
        <v>72200</v>
      </c>
      <c r="D149" s="6">
        <f>IF(B149=0, "N/A", (C149-B149)/B149)</f>
        <v/>
      </c>
    </row>
    <row r="150">
      <c r="A150" s="2" t="inlineStr">
        <is>
          <t>Buzos C Capucha</t>
        </is>
      </c>
      <c r="B150" s="8" t="n">
        <v>527295.999</v>
      </c>
      <c r="C150" s="8" t="n">
        <v>351750</v>
      </c>
      <c r="D150" s="6">
        <f>IF(B150=0, "N/A", (C150-B150)/B150)</f>
        <v/>
      </c>
    </row>
    <row r="151">
      <c r="A151" s="2" t="inlineStr">
        <is>
          <t>Calzado</t>
        </is>
      </c>
      <c r="B151" s="8" t="n">
        <v>14900</v>
      </c>
      <c r="C151" s="8" t="n">
        <v>14900</v>
      </c>
      <c r="D151" s="6">
        <f>IF(B151=0, "N/A", (C151-B151)/B151)</f>
        <v/>
      </c>
    </row>
    <row r="152">
      <c r="A152" s="2" t="inlineStr">
        <is>
          <t>Camisetas Manga Larga</t>
        </is>
      </c>
      <c r="B152" s="8" t="n">
        <v>54750</v>
      </c>
      <c r="C152" s="8" t="n"/>
      <c r="D152" s="6">
        <f>IF(B152=0, "N/A", (C152-B152)/B152)</f>
        <v/>
      </c>
    </row>
    <row r="153">
      <c r="A153" s="2" t="inlineStr">
        <is>
          <t>Camperas Capucha</t>
        </is>
      </c>
      <c r="B153" s="8" t="n">
        <v>230000</v>
      </c>
      <c r="C153" s="8" t="n">
        <v>99800</v>
      </c>
      <c r="D153" s="6">
        <f>IF(B153=0, "N/A", (C153-B153)/B153)</f>
        <v/>
      </c>
    </row>
    <row r="154">
      <c r="A154" s="2" t="inlineStr">
        <is>
          <t>Camperas De Abrigo</t>
        </is>
      </c>
      <c r="B154" s="8" t="n">
        <v>115000</v>
      </c>
      <c r="C154" s="8" t="n"/>
      <c r="D154" s="6">
        <f>IF(B154=0, "N/A", (C154-B154)/B154)</f>
        <v/>
      </c>
    </row>
    <row r="155">
      <c r="A155" s="2" t="inlineStr">
        <is>
          <t>Chombas</t>
        </is>
      </c>
      <c r="B155" s="8" t="n"/>
      <c r="C155" s="8" t="n">
        <v>32500</v>
      </c>
      <c r="D155" s="6">
        <f>IF(B155=0, "N/A", (C155-B155)/B155)</f>
        <v/>
      </c>
    </row>
    <row r="156">
      <c r="A156" s="2" t="inlineStr">
        <is>
          <t>Chombas Manga Larga</t>
        </is>
      </c>
      <c r="B156" s="8" t="n"/>
      <c r="C156" s="8" t="n">
        <v>26999.999</v>
      </c>
      <c r="D156" s="6">
        <f>IF(B156=0, "N/A", (C156-B156)/B156)</f>
        <v/>
      </c>
    </row>
    <row r="157">
      <c r="A157" s="2" t="inlineStr">
        <is>
          <t>Jeans</t>
        </is>
      </c>
      <c r="B157" s="8" t="n">
        <v>613510</v>
      </c>
      <c r="C157" s="8" t="n">
        <v>124129.9982</v>
      </c>
      <c r="D157" s="6">
        <f>IF(B157=0, "N/A", (C157-B157)/B157)</f>
        <v/>
      </c>
    </row>
    <row r="158">
      <c r="A158" s="2" t="inlineStr">
        <is>
          <t>Jogging</t>
        </is>
      </c>
      <c r="B158" s="8" t="n">
        <v>39500</v>
      </c>
      <c r="C158" s="8" t="n">
        <v>29500</v>
      </c>
      <c r="D158" s="6">
        <f>IF(B158=0, "N/A", (C158-B158)/B158)</f>
        <v/>
      </c>
    </row>
    <row r="159">
      <c r="A159" s="2" t="inlineStr">
        <is>
          <t>Otro</t>
        </is>
      </c>
      <c r="B159" s="8" t="n">
        <v>19900</v>
      </c>
      <c r="C159" s="8" t="n"/>
      <c r="D159" s="6">
        <f>IF(B159=0, "N/A", (C159-B159)/B159)</f>
        <v/>
      </c>
    </row>
    <row r="160">
      <c r="A160" s="2" t="inlineStr">
        <is>
          <t>Remeras</t>
        </is>
      </c>
      <c r="B160" s="8" t="n">
        <v>585657.101</v>
      </c>
      <c r="C160" s="8" t="n">
        <v>664610.0007</v>
      </c>
      <c r="D160" s="6">
        <f>IF(B160=0, "N/A", (C160-B160)/B160)</f>
        <v/>
      </c>
    </row>
    <row r="161">
      <c r="A161" s="2" t="inlineStr">
        <is>
          <t>Sweaters</t>
        </is>
      </c>
      <c r="B161" s="8" t="n"/>
      <c r="C161" s="8" t="n">
        <v>32400.0021</v>
      </c>
      <c r="D161" s="6">
        <f>IF(B161=0, "N/A", (C161-B161)/B161)</f>
        <v/>
      </c>
    </row>
    <row r="162">
      <c r="A162" s="5" t="inlineStr">
        <is>
          <t>Totals</t>
        </is>
      </c>
      <c r="B162" s="9">
        <f>SUM($B146:$B161)</f>
        <v/>
      </c>
      <c r="C162" s="9">
        <f>SUM($C146:$C161)</f>
        <v/>
      </c>
      <c r="D162" s="7">
        <f>IF(B162=0, "N/A", (C162-B162)/B162)</f>
        <v/>
      </c>
    </row>
  </sheetData>
  <mergeCells count="16">
    <mergeCell ref="A112:M112"/>
    <mergeCell ref="E113:F113"/>
    <mergeCell ref="B62:C62"/>
    <mergeCell ref="A61:D61"/>
    <mergeCell ref="H113:I113"/>
    <mergeCell ref="A143:D143"/>
    <mergeCell ref="A1:F1"/>
    <mergeCell ref="A30:M30"/>
    <mergeCell ref="A83:F83"/>
    <mergeCell ref="K113:L113"/>
    <mergeCell ref="B31:C31"/>
    <mergeCell ref="H31:I31"/>
    <mergeCell ref="K31:L31"/>
    <mergeCell ref="E31:F31"/>
    <mergeCell ref="B144:C144"/>
    <mergeCell ref="B113:C1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April 01, 2026 to April 30,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4</v>
      </c>
      <c r="C3" s="3" t="n">
        <v>21</v>
      </c>
      <c r="D3" s="3" t="n">
        <v>42</v>
      </c>
      <c r="E3" s="3" t="n">
        <v>2</v>
      </c>
      <c r="F3" s="4">
        <f>B3+C3+D3+E3</f>
        <v/>
      </c>
    </row>
    <row r="4">
      <c r="A4" s="2" t="inlineStr">
        <is>
          <t>Bermudas</t>
        </is>
      </c>
      <c r="B4" s="3" t="n">
        <v>-1</v>
      </c>
      <c r="C4" s="3" t="n">
        <v>1</v>
      </c>
      <c r="D4" s="3" t="n">
        <v>5</v>
      </c>
      <c r="E4" s="3" t="n"/>
      <c r="F4" s="4">
        <f>B4+C4+D4+E4</f>
        <v/>
      </c>
    </row>
    <row r="5">
      <c r="A5" s="2" t="inlineStr">
        <is>
          <t>Boxer</t>
        </is>
      </c>
      <c r="B5" s="3" t="n">
        <v>4</v>
      </c>
      <c r="C5" s="3" t="n">
        <v>6</v>
      </c>
      <c r="D5" s="3" t="n">
        <v>74</v>
      </c>
      <c r="E5" s="3" t="n">
        <v>5</v>
      </c>
      <c r="F5" s="4">
        <f>B5+C5+D5+E5</f>
        <v/>
      </c>
    </row>
    <row r="6">
      <c r="A6" s="2" t="inlineStr">
        <is>
          <t>Buzo C Capucha Rustico</t>
        </is>
      </c>
      <c r="B6" s="3" t="n"/>
      <c r="C6" s="3" t="n"/>
      <c r="D6" s="3" t="n">
        <v>5</v>
      </c>
      <c r="E6" s="3" t="n"/>
      <c r="F6" s="4">
        <f>B6+C6+D6+E6</f>
        <v/>
      </c>
    </row>
    <row r="7">
      <c r="A7" s="2" t="inlineStr">
        <is>
          <t>Buzo Cuello Redondo</t>
        </is>
      </c>
      <c r="B7" s="3" t="n">
        <v>29</v>
      </c>
      <c r="C7" s="3" t="n">
        <v>30</v>
      </c>
      <c r="D7" s="3" t="n">
        <v>156</v>
      </c>
      <c r="E7" s="3" t="n">
        <v>2</v>
      </c>
      <c r="F7" s="4">
        <f>B7+C7+D7+E7</f>
        <v/>
      </c>
    </row>
    <row r="8">
      <c r="A8" s="2" t="inlineStr">
        <is>
          <t>Buzos C Capucha</t>
        </is>
      </c>
      <c r="B8" s="3" t="n">
        <v>25</v>
      </c>
      <c r="C8" s="3" t="n">
        <v>39</v>
      </c>
      <c r="D8" s="3" t="n">
        <v>83</v>
      </c>
      <c r="E8" s="3" t="n">
        <v>3</v>
      </c>
      <c r="F8" s="4">
        <f>B8+C8+D8+E8</f>
        <v/>
      </c>
    </row>
    <row r="9">
      <c r="A9" s="2" t="inlineStr">
        <is>
          <t>Buzos C Capucha Orangutan</t>
        </is>
      </c>
      <c r="B9" s="3" t="n">
        <v>1</v>
      </c>
      <c r="C9" s="3" t="n">
        <v>4</v>
      </c>
      <c r="D9" s="3" t="n">
        <v>9</v>
      </c>
      <c r="E9" s="3" t="n">
        <v>2</v>
      </c>
      <c r="F9" s="4">
        <f>B9+C9+D9+E9</f>
        <v/>
      </c>
    </row>
    <row r="10">
      <c r="A10" s="2" t="inlineStr">
        <is>
          <t>Buzos C Redondo Orangutan</t>
        </is>
      </c>
      <c r="B10" s="3" t="n">
        <v>1</v>
      </c>
      <c r="C10" s="3" t="n"/>
      <c r="D10" s="3" t="n">
        <v>18</v>
      </c>
      <c r="E10" s="3" t="n"/>
      <c r="F10" s="4">
        <f>B10+C10+D10+E10</f>
        <v/>
      </c>
    </row>
    <row r="11">
      <c r="A11" s="2" t="inlineStr">
        <is>
          <t>Buzos Medio Cierre</t>
        </is>
      </c>
      <c r="B11" s="3" t="n">
        <v>12</v>
      </c>
      <c r="C11" s="3" t="n">
        <v>11</v>
      </c>
      <c r="D11" s="3" t="n">
        <v>38</v>
      </c>
      <c r="E11" s="3" t="n"/>
      <c r="F11" s="4">
        <f>B11+C11+D11+E11</f>
        <v/>
      </c>
    </row>
    <row r="12">
      <c r="A12" s="2" t="inlineStr">
        <is>
          <t>Calzado</t>
        </is>
      </c>
      <c r="B12" s="3" t="n"/>
      <c r="C12" s="3" t="n"/>
      <c r="D12" s="3" t="n">
        <v>1</v>
      </c>
      <c r="E12" s="3" t="n"/>
      <c r="F12" s="4">
        <f>B12+C12+D12+E12</f>
        <v/>
      </c>
    </row>
    <row r="13">
      <c r="A13" s="2" t="inlineStr">
        <is>
          <t>Camisas</t>
        </is>
      </c>
      <c r="B13" s="3" t="n"/>
      <c r="C13" s="3" t="n">
        <v>3</v>
      </c>
      <c r="D13" s="3" t="n">
        <v>1</v>
      </c>
      <c r="E13" s="3" t="n"/>
      <c r="F13" s="4">
        <f>B13+C13+D13+E13</f>
        <v/>
      </c>
    </row>
    <row r="14">
      <c r="A14" s="2" t="inlineStr">
        <is>
          <t>Camisetas Manga Larga</t>
        </is>
      </c>
      <c r="B14" s="3" t="n">
        <v>55</v>
      </c>
      <c r="C14" s="3" t="n">
        <v>74</v>
      </c>
      <c r="D14" s="3" t="n">
        <v>71</v>
      </c>
      <c r="E14" s="3" t="n"/>
      <c r="F14" s="4">
        <f>B14+C14+D14+E14</f>
        <v/>
      </c>
    </row>
    <row r="15">
      <c r="A15" s="2" t="inlineStr">
        <is>
          <t>Campera S Capucha</t>
        </is>
      </c>
      <c r="B15" s="3" t="n">
        <v>2</v>
      </c>
      <c r="C15" s="3" t="n">
        <v>1</v>
      </c>
      <c r="D15" s="3" t="n">
        <v>10</v>
      </c>
      <c r="E15" s="3" t="n"/>
      <c r="F15" s="4">
        <f>B15+C15+D15+E15</f>
        <v/>
      </c>
    </row>
    <row r="16">
      <c r="A16" s="2" t="inlineStr">
        <is>
          <t>Camperas Capucha</t>
        </is>
      </c>
      <c r="B16" s="3" t="n">
        <v>34</v>
      </c>
      <c r="C16" s="3" t="n">
        <v>35</v>
      </c>
      <c r="D16" s="3" t="n">
        <v>91</v>
      </c>
      <c r="E16" s="3" t="n">
        <v>7</v>
      </c>
      <c r="F16" s="4">
        <f>B16+C16+D16+E16</f>
        <v/>
      </c>
    </row>
    <row r="17">
      <c r="A17" s="2" t="inlineStr">
        <is>
          <t>Camperas De Abrigo</t>
        </is>
      </c>
      <c r="B17" s="3" t="n">
        <v>15</v>
      </c>
      <c r="C17" s="3" t="n">
        <v>12</v>
      </c>
      <c r="D17" s="3" t="n">
        <v>49</v>
      </c>
      <c r="E17" s="3" t="n">
        <v>1</v>
      </c>
      <c r="F17" s="4">
        <f>B17+C17+D17+E17</f>
        <v/>
      </c>
    </row>
    <row r="18">
      <c r="A18" s="2" t="inlineStr">
        <is>
          <t>Chombas</t>
        </is>
      </c>
      <c r="B18" s="3" t="n">
        <v>3</v>
      </c>
      <c r="C18" s="3" t="n">
        <v>3</v>
      </c>
      <c r="D18" s="3" t="n">
        <v>15</v>
      </c>
      <c r="E18" s="3" t="n">
        <v>1</v>
      </c>
      <c r="F18" s="4">
        <f>B18+C18+D18+E18</f>
        <v/>
      </c>
    </row>
    <row r="19">
      <c r="A19" s="2" t="inlineStr">
        <is>
          <t>Chombas Manga Larga</t>
        </is>
      </c>
      <c r="B19" s="3" t="n">
        <v>23</v>
      </c>
      <c r="C19" s="3" t="n">
        <v>25</v>
      </c>
      <c r="D19" s="3" t="n">
        <v>3</v>
      </c>
      <c r="E19" s="3" t="n"/>
      <c r="F19" s="4">
        <f>B19+C19+D19+E19</f>
        <v/>
      </c>
    </row>
    <row r="20">
      <c r="A20" s="2" t="inlineStr">
        <is>
          <t>Jeans</t>
        </is>
      </c>
      <c r="B20" s="3" t="n">
        <v>60</v>
      </c>
      <c r="C20" s="3" t="n">
        <v>62</v>
      </c>
      <c r="D20" s="3" t="n">
        <v>262</v>
      </c>
      <c r="E20" s="3" t="n">
        <v>18</v>
      </c>
      <c r="F20" s="4">
        <f>B20+C20+D20+E20</f>
        <v/>
      </c>
    </row>
    <row r="21">
      <c r="A21" s="2" t="inlineStr">
        <is>
          <t>Jogging</t>
        </is>
      </c>
      <c r="B21" s="3" t="n">
        <v>10</v>
      </c>
      <c r="C21" s="3" t="n">
        <v>17</v>
      </c>
      <c r="D21" s="3" t="n">
        <v>53</v>
      </c>
      <c r="E21" s="3" t="n">
        <v>2</v>
      </c>
      <c r="F21" s="4">
        <f>B21+C21+D21+E21</f>
        <v/>
      </c>
    </row>
    <row r="22">
      <c r="A22" s="2" t="inlineStr">
        <is>
          <t>Jogging Corto</t>
        </is>
      </c>
      <c r="B22" s="3" t="n"/>
      <c r="C22" s="3" t="n">
        <v>1</v>
      </c>
      <c r="D22" s="3" t="n"/>
      <c r="E22" s="3" t="n"/>
      <c r="F22" s="4">
        <f>B22+C22+D22+E22</f>
        <v/>
      </c>
    </row>
    <row r="23">
      <c r="A23" s="2" t="inlineStr">
        <is>
          <t>Musculosas</t>
        </is>
      </c>
      <c r="B23" s="3" t="n">
        <v>-1</v>
      </c>
      <c r="C23" s="3" t="n"/>
      <c r="D23" s="3" t="n">
        <v>3</v>
      </c>
      <c r="E23" s="3" t="n"/>
      <c r="F23" s="4">
        <f>B23+C23+D23+E23</f>
        <v/>
      </c>
    </row>
    <row r="24">
      <c r="A24" s="2" t="inlineStr">
        <is>
          <t>Otro</t>
        </is>
      </c>
      <c r="B24" s="3" t="n"/>
      <c r="C24" s="3" t="n"/>
      <c r="D24" s="3" t="n">
        <v>2</v>
      </c>
      <c r="E24" s="3" t="n"/>
      <c r="F24" s="4">
        <f>B24+C24+D24+E24</f>
        <v/>
      </c>
    </row>
    <row r="25">
      <c r="A25" s="2" t="inlineStr">
        <is>
          <t>Remeras</t>
        </is>
      </c>
      <c r="B25" s="3" t="n">
        <v>103</v>
      </c>
      <c r="C25" s="3" t="n">
        <v>232</v>
      </c>
      <c r="D25" s="3" t="n">
        <v>263</v>
      </c>
      <c r="E25" s="3" t="n">
        <v>23</v>
      </c>
      <c r="F25" s="4">
        <f>B25+C25+D25+E25</f>
        <v/>
      </c>
    </row>
    <row r="26">
      <c r="A26" s="2" t="inlineStr">
        <is>
          <t>Sweaters</t>
        </is>
      </c>
      <c r="B26" s="3" t="n">
        <v>28</v>
      </c>
      <c r="C26" s="3" t="n">
        <v>18</v>
      </c>
      <c r="D26" s="3" t="n">
        <v>34</v>
      </c>
      <c r="E26" s="3" t="n">
        <v>2</v>
      </c>
      <c r="F26" s="4">
        <f>B26+C26+D26+E26</f>
        <v/>
      </c>
    </row>
    <row r="27">
      <c r="A27" s="5" t="inlineStr">
        <is>
          <t>Totals</t>
        </is>
      </c>
      <c r="B27" s="4">
        <f>SUM($B$3:$B$26)</f>
        <v/>
      </c>
      <c r="C27" s="4">
        <f>SUM($C$3:$C$26)</f>
        <v/>
      </c>
      <c r="D27" s="4">
        <f>SUM($D$3:$D$26)</f>
        <v/>
      </c>
      <c r="E27" s="4">
        <f>SUM($E$3:$E$26)</f>
        <v/>
      </c>
      <c r="F27" s="4">
        <f>SUM($F$3:$F$26)</f>
        <v/>
      </c>
    </row>
    <row r="30">
      <c r="A30" s="1" t="inlineStr">
        <is>
          <t>YoY Units Sold Comparison - Branch Group 1</t>
        </is>
      </c>
    </row>
    <row r="31">
      <c r="B31" s="1" t="inlineStr">
        <is>
          <t>LIBERT.R</t>
        </is>
      </c>
      <c r="C31" s="1" t="n"/>
      <c r="D31" s="1" t="n"/>
      <c r="E31" s="1" t="inlineStr">
        <is>
          <t>PASO.R</t>
        </is>
      </c>
      <c r="F31" s="1" t="n"/>
      <c r="G31" s="1" t="n"/>
      <c r="H31" s="1" t="inlineStr">
        <is>
          <t>P.OESTE</t>
        </is>
      </c>
      <c r="I31" s="1" t="n"/>
      <c r="J31" s="1" t="n"/>
      <c r="K31" s="1" t="inlineStr">
        <is>
          <t>Global</t>
        </is>
      </c>
      <c r="L31" s="1" t="n"/>
      <c r="M31" s="1" t="n"/>
    </row>
    <row r="32">
      <c r="A32" s="1" t="inlineStr">
        <is>
          <t>Familias</t>
        </is>
      </c>
      <c r="B32" s="1" t="n">
        <v>2025</v>
      </c>
      <c r="C32" s="1" t="n">
        <v>2026</v>
      </c>
      <c r="D32" s="1" t="inlineStr">
        <is>
          <t>%</t>
        </is>
      </c>
      <c r="E32" s="1" t="n">
        <v>2025</v>
      </c>
      <c r="F32" s="1" t="n">
        <v>2026</v>
      </c>
      <c r="G32" s="1" t="inlineStr">
        <is>
          <t>%</t>
        </is>
      </c>
      <c r="H32" s="1" t="n">
        <v>2025</v>
      </c>
      <c r="I32" s="1" t="n">
        <v>2026</v>
      </c>
      <c r="J32" s="1" t="inlineStr">
        <is>
          <t>%</t>
        </is>
      </c>
      <c r="K32" s="1" t="n">
        <v>2025</v>
      </c>
      <c r="L32" s="1" t="n">
        <v>2026</v>
      </c>
      <c r="M32" s="1" t="inlineStr">
        <is>
          <t>%</t>
        </is>
      </c>
    </row>
    <row r="33">
      <c r="A33" s="2" t="inlineStr">
        <is>
          <t>Accesorios</t>
        </is>
      </c>
      <c r="B33" s="3" t="n">
        <v>34</v>
      </c>
      <c r="C33" s="3" t="n">
        <v>4</v>
      </c>
      <c r="D33" s="6">
        <f>IF(B33=0, "N/A", (C33-B33)/B33)</f>
        <v/>
      </c>
      <c r="E33" s="3" t="n">
        <v>26</v>
      </c>
      <c r="F33" s="3" t="n">
        <v>21</v>
      </c>
      <c r="G33" s="6">
        <f>IF(E33=0, "N/A", (F33-E33)/E33)</f>
        <v/>
      </c>
      <c r="H33" s="3" t="n">
        <v>63</v>
      </c>
      <c r="I33" s="3" t="n">
        <v>42</v>
      </c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Bermudas</t>
        </is>
      </c>
      <c r="B34" s="3" t="n"/>
      <c r="C34" s="3" t="n">
        <v>-1</v>
      </c>
      <c r="D34" s="6">
        <f>IF(B34=0, "N/A", (C34-B34)/B34)</f>
        <v/>
      </c>
      <c r="E34" s="3" t="n"/>
      <c r="F34" s="3" t="n">
        <v>1</v>
      </c>
      <c r="G34" s="6">
        <f>IF(E34=0, "N/A", (F34-E34)/E34)</f>
        <v/>
      </c>
      <c r="H34" s="3" t="n"/>
      <c r="I34" s="3" t="n">
        <v>5</v>
      </c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Boxer</t>
        </is>
      </c>
      <c r="B35" s="3" t="n">
        <v>1</v>
      </c>
      <c r="C35" s="3" t="n">
        <v>4</v>
      </c>
      <c r="D35" s="6">
        <f>IF(B35=0, "N/A", (C35-B35)/B35)</f>
        <v/>
      </c>
      <c r="E35" s="3" t="n">
        <v>35</v>
      </c>
      <c r="F35" s="3" t="n">
        <v>6</v>
      </c>
      <c r="G35" s="6">
        <f>IF(E35=0, "N/A", (F35-E35)/E35)</f>
        <v/>
      </c>
      <c r="H35" s="3" t="n">
        <v>17</v>
      </c>
      <c r="I35" s="3" t="n">
        <v>74</v>
      </c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 C Capucha Rustico</t>
        </is>
      </c>
      <c r="B36" s="3" t="n">
        <v>1</v>
      </c>
      <c r="C36" s="3" t="n"/>
      <c r="D36" s="6">
        <f>IF(B36=0, "N/A", (C36-B36)/B36)</f>
        <v/>
      </c>
      <c r="E36" s="3" t="n"/>
      <c r="F36" s="3" t="n"/>
      <c r="G36" s="6">
        <f>IF(E36=0, "N/A", (F36-E36)/E36)</f>
        <v/>
      </c>
      <c r="H36" s="3" t="n"/>
      <c r="I36" s="3" t="n">
        <v>5</v>
      </c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 Cuello Redondo</t>
        </is>
      </c>
      <c r="B37" s="3" t="n">
        <v>93</v>
      </c>
      <c r="C37" s="3" t="n">
        <v>29</v>
      </c>
      <c r="D37" s="6">
        <f>IF(B37=0, "N/A", (C37-B37)/B37)</f>
        <v/>
      </c>
      <c r="E37" s="3" t="n">
        <v>124</v>
      </c>
      <c r="F37" s="3" t="n">
        <v>30</v>
      </c>
      <c r="G37" s="6">
        <f>IF(E37=0, "N/A", (F37-E37)/E37)</f>
        <v/>
      </c>
      <c r="H37" s="3" t="n">
        <v>122</v>
      </c>
      <c r="I37" s="3" t="n">
        <v>156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Buzos C Capucha</t>
        </is>
      </c>
      <c r="B38" s="3" t="n">
        <v>57</v>
      </c>
      <c r="C38" s="3" t="n">
        <v>25</v>
      </c>
      <c r="D38" s="6">
        <f>IF(B38=0, "N/A", (C38-B38)/B38)</f>
        <v/>
      </c>
      <c r="E38" s="3" t="n">
        <v>43</v>
      </c>
      <c r="F38" s="3" t="n">
        <v>39</v>
      </c>
      <c r="G38" s="6">
        <f>IF(E38=0, "N/A", (F38-E38)/E38)</f>
        <v/>
      </c>
      <c r="H38" s="3" t="n">
        <v>234</v>
      </c>
      <c r="I38" s="3" t="n">
        <v>83</v>
      </c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Buzos C Capucha Orangutan</t>
        </is>
      </c>
      <c r="B39" s="3" t="n"/>
      <c r="C39" s="3" t="n">
        <v>1</v>
      </c>
      <c r="D39" s="6">
        <f>IF(B39=0, "N/A", (C39-B39)/B39)</f>
        <v/>
      </c>
      <c r="E39" s="3" t="n"/>
      <c r="F39" s="3" t="n">
        <v>4</v>
      </c>
      <c r="G39" s="6">
        <f>IF(E39=0, "N/A", (F39-E39)/E39)</f>
        <v/>
      </c>
      <c r="H39" s="3" t="n"/>
      <c r="I39" s="3" t="n">
        <v>9</v>
      </c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Buzos C Redondo Orangutan</t>
        </is>
      </c>
      <c r="B40" s="3" t="n"/>
      <c r="C40" s="3" t="n">
        <v>1</v>
      </c>
      <c r="D40" s="6">
        <f>IF(B40=0, "N/A", (C40-B40)/B40)</f>
        <v/>
      </c>
      <c r="E40" s="3" t="n"/>
      <c r="F40" s="3" t="n"/>
      <c r="G40" s="6">
        <f>IF(E40=0, "N/A", (F40-E40)/E40)</f>
        <v/>
      </c>
      <c r="H40" s="3" t="n"/>
      <c r="I40" s="3" t="n">
        <v>18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Buzos C Redondo Rustico</t>
        </is>
      </c>
      <c r="B41" s="3" t="n">
        <v>1</v>
      </c>
      <c r="C41" s="3" t="n"/>
      <c r="D41" s="6">
        <f>IF(B41=0, "N/A", (C41-B41)/B41)</f>
        <v/>
      </c>
      <c r="E41" s="3" t="n"/>
      <c r="F41" s="3" t="n"/>
      <c r="G41" s="6">
        <f>IF(E41=0, "N/A", (F41-E41)/E41)</f>
        <v/>
      </c>
      <c r="H41" s="3" t="n"/>
      <c r="I41" s="3" t="n"/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Buzos Medio Cierre</t>
        </is>
      </c>
      <c r="B42" s="3" t="n">
        <v>5</v>
      </c>
      <c r="C42" s="3" t="n">
        <v>12</v>
      </c>
      <c r="D42" s="6">
        <f>IF(B42=0, "N/A", (C42-B42)/B42)</f>
        <v/>
      </c>
      <c r="E42" s="3" t="n">
        <v>12</v>
      </c>
      <c r="F42" s="3" t="n">
        <v>11</v>
      </c>
      <c r="G42" s="6">
        <f>IF(E42=0, "N/A", (F42-E42)/E42)</f>
        <v/>
      </c>
      <c r="H42" s="3" t="n">
        <v>69</v>
      </c>
      <c r="I42" s="3" t="n">
        <v>38</v>
      </c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Calzado</t>
        </is>
      </c>
      <c r="B43" s="3" t="n"/>
      <c r="C43" s="3" t="n"/>
      <c r="D43" s="6">
        <f>IF(B43=0, "N/A", (C43-B43)/B43)</f>
        <v/>
      </c>
      <c r="E43" s="3" t="n"/>
      <c r="F43" s="3" t="n"/>
      <c r="G43" s="6">
        <f>IF(E43=0, "N/A", (F43-E43)/E43)</f>
        <v/>
      </c>
      <c r="H43" s="3" t="n"/>
      <c r="I43" s="3" t="n">
        <v>1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Camisas</t>
        </is>
      </c>
      <c r="B44" s="3" t="n">
        <v>9</v>
      </c>
      <c r="C44" s="3" t="n"/>
      <c r="D44" s="6">
        <f>IF(B44=0, "N/A", (C44-B44)/B44)</f>
        <v/>
      </c>
      <c r="E44" s="3" t="n">
        <v>6</v>
      </c>
      <c r="F44" s="3" t="n">
        <v>3</v>
      </c>
      <c r="G44" s="6">
        <f>IF(E44=0, "N/A", (F44-E44)/E44)</f>
        <v/>
      </c>
      <c r="H44" s="3" t="n">
        <v>11</v>
      </c>
      <c r="I44" s="3" t="n">
        <v>1</v>
      </c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Camisetas Manga Larga</t>
        </is>
      </c>
      <c r="B45" s="3" t="n">
        <v>42</v>
      </c>
      <c r="C45" s="3" t="n">
        <v>55</v>
      </c>
      <c r="D45" s="6">
        <f>IF(B45=0, "N/A", (C45-B45)/B45)</f>
        <v/>
      </c>
      <c r="E45" s="3" t="n">
        <v>78</v>
      </c>
      <c r="F45" s="3" t="n">
        <v>74</v>
      </c>
      <c r="G45" s="6">
        <f>IF(E45=0, "N/A", (F45-E45)/E45)</f>
        <v/>
      </c>
      <c r="H45" s="3" t="n">
        <v>124</v>
      </c>
      <c r="I45" s="3" t="n">
        <v>71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Campera S Capucha</t>
        </is>
      </c>
      <c r="B46" s="3" t="n">
        <v>8</v>
      </c>
      <c r="C46" s="3" t="n">
        <v>2</v>
      </c>
      <c r="D46" s="6">
        <f>IF(B46=0, "N/A", (C46-B46)/B46)</f>
        <v/>
      </c>
      <c r="E46" s="3" t="n">
        <v>14</v>
      </c>
      <c r="F46" s="3" t="n">
        <v>1</v>
      </c>
      <c r="G46" s="6">
        <f>IF(E46=0, "N/A", (F46-E46)/E46)</f>
        <v/>
      </c>
      <c r="H46" s="3" t="n">
        <v>36</v>
      </c>
      <c r="I46" s="3" t="n">
        <v>10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Camperas Capucha</t>
        </is>
      </c>
      <c r="B47" s="3" t="n">
        <v>36</v>
      </c>
      <c r="C47" s="3" t="n">
        <v>34</v>
      </c>
      <c r="D47" s="6">
        <f>IF(B47=0, "N/A", (C47-B47)/B47)</f>
        <v/>
      </c>
      <c r="E47" s="3" t="n">
        <v>25</v>
      </c>
      <c r="F47" s="3" t="n">
        <v>35</v>
      </c>
      <c r="G47" s="6">
        <f>IF(E47=0, "N/A", (F47-E47)/E47)</f>
        <v/>
      </c>
      <c r="H47" s="3" t="n">
        <v>71</v>
      </c>
      <c r="I47" s="3" t="n">
        <v>91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Camperas De Abrigo</t>
        </is>
      </c>
      <c r="B48" s="3" t="n">
        <v>12</v>
      </c>
      <c r="C48" s="3" t="n">
        <v>15</v>
      </c>
      <c r="D48" s="6">
        <f>IF(B48=0, "N/A", (C48-B48)/B48)</f>
        <v/>
      </c>
      <c r="E48" s="3" t="n">
        <v>17</v>
      </c>
      <c r="F48" s="3" t="n">
        <v>12</v>
      </c>
      <c r="G48" s="6">
        <f>IF(E48=0, "N/A", (F48-E48)/E48)</f>
        <v/>
      </c>
      <c r="H48" s="3" t="n">
        <v>25</v>
      </c>
      <c r="I48" s="3" t="n">
        <v>49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Chombas</t>
        </is>
      </c>
      <c r="B49" s="3" t="n">
        <v>4</v>
      </c>
      <c r="C49" s="3" t="n">
        <v>3</v>
      </c>
      <c r="D49" s="6">
        <f>IF(B49=0, "N/A", (C49-B49)/B49)</f>
        <v/>
      </c>
      <c r="E49" s="3" t="n">
        <v>6</v>
      </c>
      <c r="F49" s="3" t="n">
        <v>3</v>
      </c>
      <c r="G49" s="6">
        <f>IF(E49=0, "N/A", (F49-E49)/E49)</f>
        <v/>
      </c>
      <c r="H49" s="3" t="n">
        <v>10</v>
      </c>
      <c r="I49" s="3" t="n">
        <v>15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Chombas Manga Larga</t>
        </is>
      </c>
      <c r="B50" s="3" t="n">
        <v>1</v>
      </c>
      <c r="C50" s="3" t="n">
        <v>23</v>
      </c>
      <c r="D50" s="6">
        <f>IF(B50=0, "N/A", (C50-B50)/B50)</f>
        <v/>
      </c>
      <c r="E50" s="3" t="n"/>
      <c r="F50" s="3" t="n">
        <v>25</v>
      </c>
      <c r="G50" s="6">
        <f>IF(E50=0, "N/A", (F50-E50)/E50)</f>
        <v/>
      </c>
      <c r="H50" s="3" t="n">
        <v>2</v>
      </c>
      <c r="I50" s="3" t="n">
        <v>3</v>
      </c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Jeans</t>
        </is>
      </c>
      <c r="B51" s="3" t="n">
        <v>43</v>
      </c>
      <c r="C51" s="3" t="n">
        <v>60</v>
      </c>
      <c r="D51" s="6">
        <f>IF(B51=0, "N/A", (C51-B51)/B51)</f>
        <v/>
      </c>
      <c r="E51" s="3" t="n">
        <v>80</v>
      </c>
      <c r="F51" s="3" t="n">
        <v>62</v>
      </c>
      <c r="G51" s="6">
        <f>IF(E51=0, "N/A", (F51-E51)/E51)</f>
        <v/>
      </c>
      <c r="H51" s="3" t="n">
        <v>180</v>
      </c>
      <c r="I51" s="3" t="n">
        <v>262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Jogging</t>
        </is>
      </c>
      <c r="B52" s="3" t="n">
        <v>47</v>
      </c>
      <c r="C52" s="3" t="n">
        <v>10</v>
      </c>
      <c r="D52" s="6">
        <f>IF(B52=0, "N/A", (C52-B52)/B52)</f>
        <v/>
      </c>
      <c r="E52" s="3" t="n">
        <v>32</v>
      </c>
      <c r="F52" s="3" t="n">
        <v>17</v>
      </c>
      <c r="G52" s="6">
        <f>IF(E52=0, "N/A", (F52-E52)/E52)</f>
        <v/>
      </c>
      <c r="H52" s="3" t="n">
        <v>79</v>
      </c>
      <c r="I52" s="3" t="n">
        <v>53</v>
      </c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Jogging Corto</t>
        </is>
      </c>
      <c r="B53" s="3" t="n"/>
      <c r="C53" s="3" t="n"/>
      <c r="D53" s="6">
        <f>IF(B53=0, "N/A", (C53-B53)/B53)</f>
        <v/>
      </c>
      <c r="E53" s="3" t="n"/>
      <c r="F53" s="3" t="n">
        <v>1</v>
      </c>
      <c r="G53" s="6">
        <f>IF(E53=0, "N/A", (F53-E53)/E53)</f>
        <v/>
      </c>
      <c r="H53" s="3" t="n"/>
      <c r="I53" s="3" t="n"/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Musculosas</t>
        </is>
      </c>
      <c r="B54" s="3" t="n"/>
      <c r="C54" s="3" t="n">
        <v>-1</v>
      </c>
      <c r="D54" s="6">
        <f>IF(B54=0, "N/A", (C54-B54)/B54)</f>
        <v/>
      </c>
      <c r="E54" s="3" t="n">
        <v>1</v>
      </c>
      <c r="F54" s="3" t="n"/>
      <c r="G54" s="6">
        <f>IF(E54=0, "N/A", (F54-E54)/E54)</f>
        <v/>
      </c>
      <c r="H54" s="3" t="n"/>
      <c r="I54" s="3" t="n">
        <v>3</v>
      </c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2" t="inlineStr">
        <is>
          <t>Otro</t>
        </is>
      </c>
      <c r="B55" s="3" t="n">
        <v>1</v>
      </c>
      <c r="C55" s="3" t="n"/>
      <c r="D55" s="6">
        <f>IF(B55=0, "N/A", (C55-B55)/B55)</f>
        <v/>
      </c>
      <c r="E55" s="3" t="n">
        <v>5</v>
      </c>
      <c r="F55" s="3" t="n"/>
      <c r="G55" s="6">
        <f>IF(E55=0, "N/A", (F55-E55)/E55)</f>
        <v/>
      </c>
      <c r="H55" s="3" t="n">
        <v>1</v>
      </c>
      <c r="I55" s="3" t="n">
        <v>2</v>
      </c>
      <c r="J55" s="6">
        <f>IF(H55=0, "N/A", (I55-H55)/H55)</f>
        <v/>
      </c>
      <c r="K55" s="3">
        <f>B55+E55+H55</f>
        <v/>
      </c>
      <c r="L55" s="3">
        <f>C55+F55+I55</f>
        <v/>
      </c>
      <c r="M55" s="6">
        <f>IF(K55=0, "N/A", (L55-K55)/K55)</f>
        <v/>
      </c>
    </row>
    <row r="56">
      <c r="A56" s="2" t="inlineStr">
        <is>
          <t>Remeras</t>
        </is>
      </c>
      <c r="B56" s="3" t="n">
        <v>122</v>
      </c>
      <c r="C56" s="3" t="n">
        <v>103</v>
      </c>
      <c r="D56" s="6">
        <f>IF(B56=0, "N/A", (C56-B56)/B56)</f>
        <v/>
      </c>
      <c r="E56" s="3" t="n">
        <v>164</v>
      </c>
      <c r="F56" s="3" t="n">
        <v>232</v>
      </c>
      <c r="G56" s="6">
        <f>IF(E56=0, "N/A", (F56-E56)/E56)</f>
        <v/>
      </c>
      <c r="H56" s="3" t="n">
        <v>328</v>
      </c>
      <c r="I56" s="3" t="n">
        <v>263</v>
      </c>
      <c r="J56" s="6">
        <f>IF(H56=0, "N/A", (I56-H56)/H56)</f>
        <v/>
      </c>
      <c r="K56" s="3">
        <f>B56+E56+H56</f>
        <v/>
      </c>
      <c r="L56" s="3">
        <f>C56+F56+I56</f>
        <v/>
      </c>
      <c r="M56" s="6">
        <f>IF(K56=0, "N/A", (L56-K56)/K56)</f>
        <v/>
      </c>
    </row>
    <row r="57">
      <c r="A57" s="2" t="inlineStr">
        <is>
          <t>Sweaters</t>
        </is>
      </c>
      <c r="B57" s="3" t="n">
        <v>15</v>
      </c>
      <c r="C57" s="3" t="n">
        <v>28</v>
      </c>
      <c r="D57" s="6">
        <f>IF(B57=0, "N/A", (C57-B57)/B57)</f>
        <v/>
      </c>
      <c r="E57" s="3" t="n">
        <v>27</v>
      </c>
      <c r="F57" s="3" t="n">
        <v>18</v>
      </c>
      <c r="G57" s="6">
        <f>IF(E57=0, "N/A", (F57-E57)/E57)</f>
        <v/>
      </c>
      <c r="H57" s="3" t="n">
        <v>53</v>
      </c>
      <c r="I57" s="3" t="n">
        <v>34</v>
      </c>
      <c r="J57" s="6">
        <f>IF(H57=0, "N/A", (I57-H57)/H57)</f>
        <v/>
      </c>
      <c r="K57" s="3">
        <f>B57+E57+H57</f>
        <v/>
      </c>
      <c r="L57" s="3">
        <f>C57+F57+I57</f>
        <v/>
      </c>
      <c r="M57" s="6">
        <f>IF(K57=0, "N/A", (L57-K57)/K57)</f>
        <v/>
      </c>
    </row>
    <row r="58">
      <c r="A58" s="2" t="inlineStr">
        <is>
          <t>Trajes De Baño</t>
        </is>
      </c>
      <c r="B58" s="3" t="n"/>
      <c r="C58" s="3" t="n"/>
      <c r="D58" s="6">
        <f>IF(B58=0, "N/A", (C58-B58)/B58)</f>
        <v/>
      </c>
      <c r="E58" s="3" t="n">
        <v>1</v>
      </c>
      <c r="F58" s="3" t="n"/>
      <c r="G58" s="6">
        <f>IF(E58=0, "N/A", (F58-E58)/E58)</f>
        <v/>
      </c>
      <c r="H58" s="3" t="n">
        <v>1</v>
      </c>
      <c r="I58" s="3" t="n"/>
      <c r="J58" s="6">
        <f>IF(H58=0, "N/A", (I58-H58)/H58)</f>
        <v/>
      </c>
      <c r="K58" s="3">
        <f>B58+E58+H58</f>
        <v/>
      </c>
      <c r="L58" s="3">
        <f>C58+F58+I58</f>
        <v/>
      </c>
      <c r="M58" s="6">
        <f>IF(K58=0, "N/A", (L58-K58)/K58)</f>
        <v/>
      </c>
    </row>
    <row r="59">
      <c r="A59" s="5" t="inlineStr">
        <is>
          <t>Totals</t>
        </is>
      </c>
      <c r="B59" s="4">
        <f>SUM($B33:$B58)</f>
        <v/>
      </c>
      <c r="C59" s="4">
        <f>SUM($C33:$C58)</f>
        <v/>
      </c>
      <c r="D59" s="7">
        <f>IF(B59=0, "N/A", (C59-B59)/B59)</f>
        <v/>
      </c>
      <c r="E59" s="4">
        <f>SUM($E33:$E58)</f>
        <v/>
      </c>
      <c r="F59" s="4">
        <f>SUM($F33:$F58)</f>
        <v/>
      </c>
      <c r="G59" s="7">
        <f>IF(E59=0, "N/A", (F59-E59)/E59)</f>
        <v/>
      </c>
      <c r="H59" s="4">
        <f>SUM($H33:$H58)</f>
        <v/>
      </c>
      <c r="I59" s="4">
        <f>SUM($I33:$I58)</f>
        <v/>
      </c>
      <c r="J59" s="7">
        <f>IF(H59=0, "N/A", (I59-H59)/H59)</f>
        <v/>
      </c>
      <c r="K59" s="4">
        <f>SUM($K33:$K58)</f>
        <v/>
      </c>
      <c r="L59" s="4">
        <f>SUM($L33:$L58)</f>
        <v/>
      </c>
      <c r="M59" s="7">
        <f>IF(K59=0, "N/A", (L59-K59)/K59)</f>
        <v/>
      </c>
    </row>
    <row r="62">
      <c r="A62" s="1" t="inlineStr">
        <is>
          <t>YoY Units Sold Comparison - Branch Group 2</t>
        </is>
      </c>
    </row>
    <row r="63">
      <c r="B63" s="1" t="inlineStr">
        <is>
          <t>VIRREYES</t>
        </is>
      </c>
      <c r="C63" s="1" t="n"/>
      <c r="D63" s="1" t="n"/>
    </row>
    <row r="64">
      <c r="A64" s="1" t="inlineStr">
        <is>
          <t>Familias</t>
        </is>
      </c>
      <c r="B64" s="1" t="n">
        <v>2025</v>
      </c>
      <c r="C64" s="1" t="n">
        <v>2026</v>
      </c>
      <c r="D64" s="1" t="inlineStr">
        <is>
          <t>%</t>
        </is>
      </c>
    </row>
    <row r="65">
      <c r="A65" s="2" t="inlineStr">
        <is>
          <t>Accesorios</t>
        </is>
      </c>
      <c r="B65" s="3" t="n">
        <v>3</v>
      </c>
      <c r="C65" s="3" t="n">
        <v>2</v>
      </c>
      <c r="D65" s="6">
        <f>IF(B65=0, "N/A", (C65-B65)/B65)</f>
        <v/>
      </c>
    </row>
    <row r="66">
      <c r="A66" s="2" t="inlineStr">
        <is>
          <t>Boxer</t>
        </is>
      </c>
      <c r="B66" s="3" t="n">
        <v>3</v>
      </c>
      <c r="C66" s="3" t="n">
        <v>5</v>
      </c>
      <c r="D66" s="6">
        <f>IF(B66=0, "N/A", (C66-B66)/B66)</f>
        <v/>
      </c>
    </row>
    <row r="67">
      <c r="A67" s="2" t="inlineStr">
        <is>
          <t>Buzo Cuello Redondo</t>
        </is>
      </c>
      <c r="B67" s="3" t="n">
        <v>12</v>
      </c>
      <c r="C67" s="3" t="n">
        <v>2</v>
      </c>
      <c r="D67" s="6">
        <f>IF(B67=0, "N/A", (C67-B67)/B67)</f>
        <v/>
      </c>
    </row>
    <row r="68">
      <c r="A68" s="2" t="inlineStr">
        <is>
          <t>Buzos C Capucha</t>
        </is>
      </c>
      <c r="B68" s="3" t="n">
        <v>19</v>
      </c>
      <c r="C68" s="3" t="n">
        <v>3</v>
      </c>
      <c r="D68" s="6">
        <f>IF(B68=0, "N/A", (C68-B68)/B68)</f>
        <v/>
      </c>
    </row>
    <row r="69">
      <c r="A69" s="2" t="inlineStr">
        <is>
          <t>Buzos C Capucha Orangutan</t>
        </is>
      </c>
      <c r="B69" s="3" t="n"/>
      <c r="C69" s="3" t="n">
        <v>2</v>
      </c>
      <c r="D69" s="6">
        <f>IF(B69=0, "N/A", (C69-B69)/B69)</f>
        <v/>
      </c>
    </row>
    <row r="70">
      <c r="A70" s="2" t="inlineStr">
        <is>
          <t>Calzado</t>
        </is>
      </c>
      <c r="B70" s="3" t="n">
        <v>2</v>
      </c>
      <c r="C70" s="3" t="n"/>
      <c r="D70" s="6">
        <f>IF(B70=0, "N/A", (C70-B70)/B70)</f>
        <v/>
      </c>
    </row>
    <row r="71">
      <c r="A71" s="2" t="inlineStr">
        <is>
          <t>Camisas</t>
        </is>
      </c>
      <c r="B71" s="3" t="n"/>
      <c r="C71" s="3" t="n"/>
      <c r="D71" s="6">
        <f>IF(B71=0, "N/A", (C71-B71)/B71)</f>
        <v/>
      </c>
    </row>
    <row r="72">
      <c r="A72" s="2" t="inlineStr">
        <is>
          <t>Camisetas Manga Larga</t>
        </is>
      </c>
      <c r="B72" s="3" t="n">
        <v>4</v>
      </c>
      <c r="C72" s="3" t="n"/>
      <c r="D72" s="6">
        <f>IF(B72=0, "N/A", (C72-B72)/B72)</f>
        <v/>
      </c>
    </row>
    <row r="73">
      <c r="A73" s="2" t="inlineStr">
        <is>
          <t>Camperas Capucha</t>
        </is>
      </c>
      <c r="B73" s="3" t="n">
        <v>6</v>
      </c>
      <c r="C73" s="3" t="n">
        <v>7</v>
      </c>
      <c r="D73" s="6">
        <f>IF(B73=0, "N/A", (C73-B73)/B73)</f>
        <v/>
      </c>
    </row>
    <row r="74">
      <c r="A74" s="2" t="inlineStr">
        <is>
          <t>Camperas De Abrigo</t>
        </is>
      </c>
      <c r="B74" s="3" t="n">
        <v>5</v>
      </c>
      <c r="C74" s="3" t="n">
        <v>1</v>
      </c>
      <c r="D74" s="6">
        <f>IF(B74=0, "N/A", (C74-B74)/B74)</f>
        <v/>
      </c>
    </row>
    <row r="75">
      <c r="A75" s="2" t="inlineStr">
        <is>
          <t>Chombas</t>
        </is>
      </c>
      <c r="B75" s="3" t="n"/>
      <c r="C75" s="3" t="n">
        <v>1</v>
      </c>
      <c r="D75" s="6">
        <f>IF(B75=0, "N/A", (C75-B75)/B75)</f>
        <v/>
      </c>
    </row>
    <row r="76">
      <c r="A76" s="2" t="inlineStr">
        <is>
          <t>Jeans</t>
        </is>
      </c>
      <c r="B76" s="3" t="n">
        <v>10</v>
      </c>
      <c r="C76" s="3" t="n">
        <v>18</v>
      </c>
      <c r="D76" s="6">
        <f>IF(B76=0, "N/A", (C76-B76)/B76)</f>
        <v/>
      </c>
    </row>
    <row r="77">
      <c r="A77" s="2" t="inlineStr">
        <is>
          <t>Jogging</t>
        </is>
      </c>
      <c r="B77" s="3" t="n">
        <v>6</v>
      </c>
      <c r="C77" s="3" t="n">
        <v>2</v>
      </c>
      <c r="D77" s="6">
        <f>IF(B77=0, "N/A", (C77-B77)/B77)</f>
        <v/>
      </c>
    </row>
    <row r="78">
      <c r="A78" s="2" t="inlineStr">
        <is>
          <t>Otro</t>
        </is>
      </c>
      <c r="B78" s="3" t="n">
        <v>2</v>
      </c>
      <c r="C78" s="3" t="n"/>
      <c r="D78" s="6">
        <f>IF(B78=0, "N/A", (C78-B78)/B78)</f>
        <v/>
      </c>
    </row>
    <row r="79">
      <c r="A79" s="2" t="inlineStr">
        <is>
          <t>Remeras</t>
        </is>
      </c>
      <c r="B79" s="3" t="n">
        <v>41</v>
      </c>
      <c r="C79" s="3" t="n">
        <v>23</v>
      </c>
      <c r="D79" s="6">
        <f>IF(B79=0, "N/A", (C79-B79)/B79)</f>
        <v/>
      </c>
    </row>
    <row r="80">
      <c r="A80" s="2" t="inlineStr">
        <is>
          <t>Sweaters</t>
        </is>
      </c>
      <c r="B80" s="3" t="n">
        <v>2</v>
      </c>
      <c r="C80" s="3" t="n">
        <v>2</v>
      </c>
      <c r="D80" s="6">
        <f>IF(B80=0, "N/A", (C80-B80)/B80)</f>
        <v/>
      </c>
    </row>
    <row r="81">
      <c r="A81" s="5" t="inlineStr">
        <is>
          <t>Totals</t>
        </is>
      </c>
      <c r="B81" s="4">
        <f>SUM($B65:$B80)</f>
        <v/>
      </c>
      <c r="C81" s="4">
        <f>SUM($C65:$C80)</f>
        <v/>
      </c>
      <c r="D81" s="7">
        <f>IF(B81=0, "N/A", (C81-B81)/B81)</f>
        <v/>
      </c>
    </row>
    <row r="84">
      <c r="A84" s="1" t="inlineStr">
        <is>
          <t>Sales Amount from April 01, 2026 to April 30, 2026</t>
        </is>
      </c>
    </row>
    <row r="85">
      <c r="A85" s="1" t="inlineStr">
        <is>
          <t>Familias</t>
        </is>
      </c>
      <c r="B85" s="1" t="inlineStr">
        <is>
          <t>LIBERT.R</t>
        </is>
      </c>
      <c r="C85" s="1" t="inlineStr">
        <is>
          <t>PASO.R</t>
        </is>
      </c>
      <c r="D85" s="1" t="inlineStr">
        <is>
          <t>P.OESTE</t>
        </is>
      </c>
      <c r="E85" s="1" t="inlineStr">
        <is>
          <t>VIRREYES</t>
        </is>
      </c>
      <c r="F85" s="1" t="inlineStr">
        <is>
          <t>Totals</t>
        </is>
      </c>
    </row>
    <row r="86">
      <c r="A86" s="2" t="inlineStr">
        <is>
          <t>Accesorios</t>
        </is>
      </c>
      <c r="B86" s="8" t="n">
        <v>45850</v>
      </c>
      <c r="C86" s="8" t="n">
        <v>479900</v>
      </c>
      <c r="D86" s="8" t="n">
        <v>767590.1497</v>
      </c>
      <c r="E86" s="8" t="n">
        <v>55100.0004</v>
      </c>
      <c r="F86" s="9">
        <f>B86+C86+D86+E86</f>
        <v/>
      </c>
    </row>
    <row r="87">
      <c r="A87" s="2" t="inlineStr">
        <is>
          <t>Bermudas</t>
        </is>
      </c>
      <c r="B87" s="8" t="n">
        <v>-29900</v>
      </c>
      <c r="C87" s="8" t="n">
        <v>29900</v>
      </c>
      <c r="D87" s="8" t="n">
        <v>160500</v>
      </c>
      <c r="E87" s="8" t="n"/>
      <c r="F87" s="9">
        <f>B87+C87+D87+E87</f>
        <v/>
      </c>
    </row>
    <row r="88">
      <c r="A88" s="2" t="inlineStr">
        <is>
          <t>Boxer</t>
        </is>
      </c>
      <c r="B88" s="8" t="n">
        <v>59600</v>
      </c>
      <c r="C88" s="8" t="n">
        <v>88862.0243</v>
      </c>
      <c r="D88" s="8" t="n">
        <v>1097643.3846</v>
      </c>
      <c r="E88" s="8" t="n">
        <v>68150.00080000001</v>
      </c>
      <c r="F88" s="9">
        <f>B88+C88+D88+E88</f>
        <v/>
      </c>
    </row>
    <row r="89">
      <c r="A89" s="2" t="inlineStr">
        <is>
          <t>Buzo C Capucha Rustico</t>
        </is>
      </c>
      <c r="B89" s="8" t="n"/>
      <c r="C89" s="8" t="n"/>
      <c r="D89" s="8" t="n">
        <v>274500</v>
      </c>
      <c r="E89" s="8" t="n"/>
      <c r="F89" s="9">
        <f>B89+C89+D89+E89</f>
        <v/>
      </c>
    </row>
    <row r="90">
      <c r="A90" s="2" t="inlineStr">
        <is>
          <t>Buzo Cuello Redondo</t>
        </is>
      </c>
      <c r="B90" s="8" t="n">
        <v>1360820</v>
      </c>
      <c r="C90" s="8" t="n">
        <v>1504431.5734</v>
      </c>
      <c r="D90" s="8" t="n">
        <v>7484405.7239</v>
      </c>
      <c r="E90" s="8" t="n">
        <v>68399.99739999999</v>
      </c>
      <c r="F90" s="9">
        <f>B90+C90+D90+E90</f>
        <v/>
      </c>
    </row>
    <row r="91">
      <c r="A91" s="2" t="inlineStr">
        <is>
          <t>Buzos C Capucha</t>
        </is>
      </c>
      <c r="B91" s="8" t="n">
        <v>1301300</v>
      </c>
      <c r="C91" s="8" t="n">
        <v>2119527.1668</v>
      </c>
      <c r="D91" s="8" t="n">
        <v>4786654.8891</v>
      </c>
      <c r="E91" s="8" t="n">
        <v>131320.0025</v>
      </c>
      <c r="F91" s="9">
        <f>B91+C91+D91+E91</f>
        <v/>
      </c>
    </row>
    <row r="92">
      <c r="A92" s="2" t="inlineStr">
        <is>
          <t>Buzos C Capucha Orangutan</t>
        </is>
      </c>
      <c r="B92" s="8" t="n">
        <v>52900</v>
      </c>
      <c r="C92" s="8" t="n">
        <v>211031.3798</v>
      </c>
      <c r="D92" s="8" t="n">
        <v>476100</v>
      </c>
      <c r="E92" s="8" t="n">
        <v>94810</v>
      </c>
      <c r="F92" s="9">
        <f>B92+C92+D92+E92</f>
        <v/>
      </c>
    </row>
    <row r="93">
      <c r="A93" s="2" t="inlineStr">
        <is>
          <t>Buzos C Redondo Orangutan</t>
        </is>
      </c>
      <c r="B93" s="8" t="n">
        <v>39900</v>
      </c>
      <c r="C93" s="8" t="n"/>
      <c r="D93" s="8" t="n">
        <v>718200</v>
      </c>
      <c r="E93" s="8" t="n"/>
      <c r="F93" s="9">
        <f>B93+C93+D93+E93</f>
        <v/>
      </c>
    </row>
    <row r="94">
      <c r="A94" s="2" t="inlineStr">
        <is>
          <t>Buzos Medio Cierre</t>
        </is>
      </c>
      <c r="B94" s="8" t="n">
        <v>469500</v>
      </c>
      <c r="C94" s="8" t="n">
        <v>435990</v>
      </c>
      <c r="D94" s="8" t="n">
        <v>1647179.3746</v>
      </c>
      <c r="E94" s="8" t="n"/>
      <c r="F94" s="9">
        <f>B94+C94+D94+E94</f>
        <v/>
      </c>
    </row>
    <row r="95">
      <c r="A95" s="2" t="inlineStr">
        <is>
          <t>Calzado</t>
        </is>
      </c>
      <c r="B95" s="8" t="n"/>
      <c r="C95" s="8" t="n"/>
      <c r="D95" s="8" t="n">
        <v>61290</v>
      </c>
      <c r="E95" s="8" t="n"/>
      <c r="F95" s="9">
        <f>B95+C95+D95+E95</f>
        <v/>
      </c>
    </row>
    <row r="96">
      <c r="A96" s="2" t="inlineStr">
        <is>
          <t>Camisas</t>
        </is>
      </c>
      <c r="B96" s="8" t="n"/>
      <c r="C96" s="8" t="n">
        <v>200800</v>
      </c>
      <c r="D96" s="8" t="n">
        <v>58105</v>
      </c>
      <c r="E96" s="8" t="n"/>
      <c r="F96" s="9">
        <f>B96+C96+D96+E96</f>
        <v/>
      </c>
    </row>
    <row r="97">
      <c r="A97" s="2" t="inlineStr">
        <is>
          <t>Camisetas Manga Larga</t>
        </is>
      </c>
      <c r="B97" s="8" t="n">
        <v>1279140</v>
      </c>
      <c r="C97" s="8" t="n">
        <v>1683629.4102</v>
      </c>
      <c r="D97" s="8" t="n">
        <v>1997690</v>
      </c>
      <c r="E97" s="8" t="n"/>
      <c r="F97" s="9">
        <f>B97+C97+D97+E97</f>
        <v/>
      </c>
    </row>
    <row r="98">
      <c r="A98" s="2" t="inlineStr">
        <is>
          <t>Campera S Capucha</t>
        </is>
      </c>
      <c r="B98" s="8" t="n">
        <v>118910</v>
      </c>
      <c r="C98" s="8" t="n">
        <v>46500</v>
      </c>
      <c r="D98" s="8" t="n">
        <v>642935.6121</v>
      </c>
      <c r="E98" s="8" t="n"/>
      <c r="F98" s="9">
        <f>B98+C98+D98+E98</f>
        <v/>
      </c>
    </row>
    <row r="99">
      <c r="A99" s="2" t="inlineStr">
        <is>
          <t>Camperas Capucha</t>
        </is>
      </c>
      <c r="B99" s="8" t="n">
        <v>1943500</v>
      </c>
      <c r="C99" s="8" t="n">
        <v>2034388.4383</v>
      </c>
      <c r="D99" s="8" t="n">
        <v>5881278.416</v>
      </c>
      <c r="E99" s="8" t="n">
        <v>339320</v>
      </c>
      <c r="F99" s="9">
        <f>B99+C99+D99+E99</f>
        <v/>
      </c>
    </row>
    <row r="100">
      <c r="A100" s="2" t="inlineStr">
        <is>
          <t>Camperas De Abrigo</t>
        </is>
      </c>
      <c r="B100" s="8" t="n">
        <v>974040</v>
      </c>
      <c r="C100" s="8" t="n">
        <v>828700</v>
      </c>
      <c r="D100" s="8" t="n">
        <v>3568149.1089</v>
      </c>
      <c r="E100" s="8" t="n">
        <v>58900</v>
      </c>
      <c r="F100" s="9">
        <f>B100+C100+D100+E100</f>
        <v/>
      </c>
    </row>
    <row r="101">
      <c r="A101" s="2" t="inlineStr">
        <is>
          <t>Chombas</t>
        </is>
      </c>
      <c r="B101" s="8" t="n">
        <v>59700</v>
      </c>
      <c r="C101" s="8" t="n">
        <v>108900</v>
      </c>
      <c r="D101" s="8" t="n">
        <v>524226.6794</v>
      </c>
      <c r="E101" s="8" t="n">
        <v>19900</v>
      </c>
      <c r="F101" s="9">
        <f>B101+C101+D101+E101</f>
        <v/>
      </c>
    </row>
    <row r="102">
      <c r="A102" s="2" t="inlineStr">
        <is>
          <t>Chombas Manga Larga</t>
        </is>
      </c>
      <c r="B102" s="8" t="n">
        <v>825700</v>
      </c>
      <c r="C102" s="8" t="n">
        <v>897500</v>
      </c>
      <c r="D102" s="8" t="n">
        <v>99300</v>
      </c>
      <c r="E102" s="8" t="n"/>
      <c r="F102" s="9">
        <f>B102+C102+D102+E102</f>
        <v/>
      </c>
    </row>
    <row r="103">
      <c r="A103" s="2" t="inlineStr">
        <is>
          <t>Jeans</t>
        </is>
      </c>
      <c r="B103" s="8" t="n">
        <v>3138300</v>
      </c>
      <c r="C103" s="8" t="n">
        <v>3239475.1754</v>
      </c>
      <c r="D103" s="8" t="n">
        <v>16099518.1113</v>
      </c>
      <c r="E103" s="8" t="n">
        <v>632289.9987</v>
      </c>
      <c r="F103" s="9">
        <f>B103+C103+D103+E103</f>
        <v/>
      </c>
    </row>
    <row r="104">
      <c r="A104" s="2" t="inlineStr">
        <is>
          <t>Jogging</t>
        </is>
      </c>
      <c r="B104" s="8" t="n">
        <v>475000</v>
      </c>
      <c r="C104" s="8" t="n">
        <v>1050961.0364</v>
      </c>
      <c r="D104" s="8" t="n">
        <v>2933353.2902</v>
      </c>
      <c r="E104" s="8" t="n">
        <v>53100</v>
      </c>
      <c r="F104" s="9">
        <f>B104+C104+D104+E104</f>
        <v/>
      </c>
    </row>
    <row r="105">
      <c r="A105" s="2" t="inlineStr">
        <is>
          <t>Jogging Corto</t>
        </is>
      </c>
      <c r="B105" s="8" t="n"/>
      <c r="C105" s="8" t="n">
        <v>39900</v>
      </c>
      <c r="D105" s="8" t="n"/>
      <c r="E105" s="8" t="n"/>
      <c r="F105" s="9">
        <f>B105+C105+D105+E105</f>
        <v/>
      </c>
    </row>
    <row r="106">
      <c r="A106" s="2" t="inlineStr">
        <is>
          <t>Musculosas</t>
        </is>
      </c>
      <c r="B106" s="8" t="n">
        <v>-10000</v>
      </c>
      <c r="C106" s="8" t="n"/>
      <c r="D106" s="8" t="n">
        <v>69000</v>
      </c>
      <c r="E106" s="8" t="n"/>
      <c r="F106" s="9">
        <f>B106+C106+D106+E106</f>
        <v/>
      </c>
    </row>
    <row r="107">
      <c r="A107" s="2" t="inlineStr">
        <is>
          <t>Otro</t>
        </is>
      </c>
      <c r="B107" s="8" t="n"/>
      <c r="C107" s="8" t="n"/>
      <c r="D107" s="8" t="n">
        <v>111800</v>
      </c>
      <c r="E107" s="8" t="n">
        <v>47620</v>
      </c>
      <c r="F107" s="9">
        <f>B107+C107+D107+E107</f>
        <v/>
      </c>
    </row>
    <row r="108">
      <c r="A108" s="2" t="inlineStr">
        <is>
          <t>Remeras</t>
        </is>
      </c>
      <c r="B108" s="8" t="n">
        <v>2278800</v>
      </c>
      <c r="C108" s="8" t="n">
        <v>5260828.1403</v>
      </c>
      <c r="D108" s="8" t="n">
        <v>6964934.2802</v>
      </c>
      <c r="E108" s="8" t="n">
        <v>379180.0002</v>
      </c>
      <c r="F108" s="9">
        <f>B108+C108+D108+E108</f>
        <v/>
      </c>
    </row>
    <row r="109">
      <c r="A109" s="2" t="inlineStr">
        <is>
          <t>Sweaters</t>
        </is>
      </c>
      <c r="B109" s="8" t="n">
        <v>1286340</v>
      </c>
      <c r="C109" s="8" t="n">
        <v>819405.6551</v>
      </c>
      <c r="D109" s="8" t="n">
        <v>1642500</v>
      </c>
      <c r="E109" s="8" t="n">
        <v>68400</v>
      </c>
      <c r="F109" s="9">
        <f>B109+C109+D109+E109</f>
        <v/>
      </c>
    </row>
    <row r="110">
      <c r="A110" s="5" t="inlineStr">
        <is>
          <t>Totals</t>
        </is>
      </c>
      <c r="B110" s="9">
        <f>SUM($B$86:$B$109)</f>
        <v/>
      </c>
      <c r="C110" s="9">
        <f>SUM($C$86:$C$109)</f>
        <v/>
      </c>
      <c r="D110" s="9">
        <f>SUM($D$86:$D$109)</f>
        <v/>
      </c>
      <c r="E110" s="9">
        <f>SUM($E$86:$E$109)</f>
        <v/>
      </c>
      <c r="F110" s="9">
        <f>SUM($F$86:$F$109)</f>
        <v/>
      </c>
    </row>
    <row r="113">
      <c r="A113" s="1" t="inlineStr">
        <is>
          <t>YoY Sales Amount Comparison - Branch Group 1</t>
        </is>
      </c>
    </row>
    <row r="114">
      <c r="B114" s="1" t="inlineStr">
        <is>
          <t>LIBERT.R</t>
        </is>
      </c>
      <c r="C114" s="1" t="n"/>
      <c r="D114" s="1" t="n"/>
      <c r="E114" s="1" t="inlineStr">
        <is>
          <t>PASO.R</t>
        </is>
      </c>
      <c r="F114" s="1" t="n"/>
      <c r="G114" s="1" t="n"/>
      <c r="H114" s="1" t="inlineStr">
        <is>
          <t>P.OESTE</t>
        </is>
      </c>
      <c r="I114" s="1" t="n"/>
      <c r="J114" s="1" t="n"/>
      <c r="K114" s="1" t="inlineStr">
        <is>
          <t>Global</t>
        </is>
      </c>
      <c r="L114" s="1" t="n"/>
      <c r="M114" s="1" t="n"/>
    </row>
    <row r="115">
      <c r="A115" s="1" t="inlineStr">
        <is>
          <t>Familias</t>
        </is>
      </c>
      <c r="B115" s="1" t="n">
        <v>2025</v>
      </c>
      <c r="C115" s="1" t="n">
        <v>2026</v>
      </c>
      <c r="D115" s="1" t="inlineStr">
        <is>
          <t>%</t>
        </is>
      </c>
      <c r="E115" s="1" t="n">
        <v>2025</v>
      </c>
      <c r="F115" s="1" t="n">
        <v>2026</v>
      </c>
      <c r="G115" s="1" t="inlineStr">
        <is>
          <t>%</t>
        </is>
      </c>
      <c r="H115" s="1" t="n">
        <v>2025</v>
      </c>
      <c r="I115" s="1" t="n">
        <v>2026</v>
      </c>
      <c r="J115" s="1" t="inlineStr">
        <is>
          <t>%</t>
        </is>
      </c>
      <c r="K115" s="1" t="n">
        <v>2025</v>
      </c>
      <c r="L115" s="1" t="n">
        <v>2026</v>
      </c>
      <c r="M115" s="1" t="inlineStr">
        <is>
          <t>%</t>
        </is>
      </c>
    </row>
    <row r="116">
      <c r="A116" s="2" t="inlineStr">
        <is>
          <t>Accesorios</t>
        </is>
      </c>
      <c r="B116" s="8" t="n">
        <v>433389.2626</v>
      </c>
      <c r="C116" s="8" t="n">
        <v>45850</v>
      </c>
      <c r="D116" s="6">
        <f>IF(B116=0, "N/A", (C116-B116)/B116)</f>
        <v/>
      </c>
      <c r="E116" s="8" t="n">
        <v>473649.1301</v>
      </c>
      <c r="F116" s="8" t="n">
        <v>479900</v>
      </c>
      <c r="G116" s="6">
        <f>IF(E116=0, "N/A", (F116-E116)/E116)</f>
        <v/>
      </c>
      <c r="H116" s="8" t="n">
        <v>1227238.0984</v>
      </c>
      <c r="I116" s="8" t="n">
        <v>767590.1497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Bermudas</t>
        </is>
      </c>
      <c r="B117" s="8" t="n"/>
      <c r="C117" s="8" t="n">
        <v>-29900</v>
      </c>
      <c r="D117" s="6">
        <f>IF(B117=0, "N/A", (C117-B117)/B117)</f>
        <v/>
      </c>
      <c r="E117" s="8" t="n"/>
      <c r="F117" s="8" t="n">
        <v>29900</v>
      </c>
      <c r="G117" s="6">
        <f>IF(E117=0, "N/A", (F117-E117)/E117)</f>
        <v/>
      </c>
      <c r="H117" s="8" t="n">
        <v>14910</v>
      </c>
      <c r="I117" s="8" t="n">
        <v>160500</v>
      </c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Boxer</t>
        </is>
      </c>
      <c r="B118" s="8" t="n">
        <v>13500</v>
      </c>
      <c r="C118" s="8" t="n">
        <v>59600</v>
      </c>
      <c r="D118" s="6">
        <f>IF(B118=0, "N/A", (C118-B118)/B118)</f>
        <v/>
      </c>
      <c r="E118" s="8" t="n">
        <v>470575.0653</v>
      </c>
      <c r="F118" s="8" t="n">
        <v>88862.0243</v>
      </c>
      <c r="G118" s="6">
        <f>IF(E118=0, "N/A", (F118-E118)/E118)</f>
        <v/>
      </c>
      <c r="H118" s="8" t="n">
        <v>229500</v>
      </c>
      <c r="I118" s="8" t="n">
        <v>1097643.3846</v>
      </c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Buzo C Capucha Rustico</t>
        </is>
      </c>
      <c r="B119" s="8" t="n">
        <v>41318.4246</v>
      </c>
      <c r="C119" s="8" t="n"/>
      <c r="D119" s="6">
        <f>IF(B119=0, "N/A", (C119-B119)/B119)</f>
        <v/>
      </c>
      <c r="E119" s="8" t="n"/>
      <c r="F119" s="8" t="n"/>
      <c r="G119" s="6">
        <f>IF(E119=0, "N/A", (F119-E119)/E119)</f>
        <v/>
      </c>
      <c r="H119" s="8" t="n"/>
      <c r="I119" s="8" t="n">
        <v>274500</v>
      </c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Buzo Cuello Redondo</t>
        </is>
      </c>
      <c r="B120" s="8" t="n">
        <v>3835646.8254</v>
      </c>
      <c r="C120" s="8" t="n">
        <v>1360820</v>
      </c>
      <c r="D120" s="6">
        <f>IF(B120=0, "N/A", (C120-B120)/B120)</f>
        <v/>
      </c>
      <c r="E120" s="8" t="n">
        <v>5025971.7261</v>
      </c>
      <c r="F120" s="8" t="n">
        <v>1504431.5734</v>
      </c>
      <c r="G120" s="6">
        <f>IF(E120=0, "N/A", (F120-E120)/E120)</f>
        <v/>
      </c>
      <c r="H120" s="8" t="n">
        <v>5587775.844</v>
      </c>
      <c r="I120" s="8" t="n">
        <v>7484405.7239</v>
      </c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Buzos C Capucha</t>
        </is>
      </c>
      <c r="B121" s="8" t="n">
        <v>2807937.2745</v>
      </c>
      <c r="C121" s="8" t="n">
        <v>1301300</v>
      </c>
      <c r="D121" s="6">
        <f>IF(B121=0, "N/A", (C121-B121)/B121)</f>
        <v/>
      </c>
      <c r="E121" s="8" t="n">
        <v>2215733.6125</v>
      </c>
      <c r="F121" s="8" t="n">
        <v>2119527.1668</v>
      </c>
      <c r="G121" s="6">
        <f>IF(E121=0, "N/A", (F121-E121)/E121)</f>
        <v/>
      </c>
      <c r="H121" s="8" t="n">
        <v>13138531.5353</v>
      </c>
      <c r="I121" s="8" t="n">
        <v>4786654.8891</v>
      </c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Buzos C Capucha Orangutan</t>
        </is>
      </c>
      <c r="B122" s="8" t="n"/>
      <c r="C122" s="8" t="n">
        <v>52900</v>
      </c>
      <c r="D122" s="6">
        <f>IF(B122=0, "N/A", (C122-B122)/B122)</f>
        <v/>
      </c>
      <c r="E122" s="8" t="n"/>
      <c r="F122" s="8" t="n">
        <v>211031.3798</v>
      </c>
      <c r="G122" s="6">
        <f>IF(E122=0, "N/A", (F122-E122)/E122)</f>
        <v/>
      </c>
      <c r="H122" s="8" t="n"/>
      <c r="I122" s="8" t="n">
        <v>476100</v>
      </c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Buzos C Redondo Orangutan</t>
        </is>
      </c>
      <c r="B123" s="8" t="n"/>
      <c r="C123" s="8" t="n">
        <v>39900</v>
      </c>
      <c r="D123" s="6">
        <f>IF(B123=0, "N/A", (C123-B123)/B123)</f>
        <v/>
      </c>
      <c r="E123" s="8" t="n"/>
      <c r="F123" s="8" t="n"/>
      <c r="G123" s="6">
        <f>IF(E123=0, "N/A", (F123-E123)/E123)</f>
        <v/>
      </c>
      <c r="H123" s="8" t="n"/>
      <c r="I123" s="8" t="n">
        <v>718200</v>
      </c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Buzos C Redondo Rustico</t>
        </is>
      </c>
      <c r="B124" s="8" t="n">
        <v>39999</v>
      </c>
      <c r="C124" s="8" t="n"/>
      <c r="D124" s="6">
        <f>IF(B124=0, "N/A", (C124-B124)/B124)</f>
        <v/>
      </c>
      <c r="E124" s="8" t="n"/>
      <c r="F124" s="8" t="n"/>
      <c r="G124" s="6">
        <f>IF(E124=0, "N/A", (F124-E124)/E124)</f>
        <v/>
      </c>
      <c r="H124" s="8" t="n"/>
      <c r="I124" s="8" t="n"/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Buzos Medio Cierre</t>
        </is>
      </c>
      <c r="B125" s="8" t="n">
        <v>190197.7432</v>
      </c>
      <c r="C125" s="8" t="n">
        <v>469500</v>
      </c>
      <c r="D125" s="6">
        <f>IF(B125=0, "N/A", (C125-B125)/B125)</f>
        <v/>
      </c>
      <c r="E125" s="8" t="n">
        <v>485096.7405</v>
      </c>
      <c r="F125" s="8" t="n">
        <v>435990</v>
      </c>
      <c r="G125" s="6">
        <f>IF(E125=0, "N/A", (F125-E125)/E125)</f>
        <v/>
      </c>
      <c r="H125" s="8" t="n">
        <v>3563903.4988</v>
      </c>
      <c r="I125" s="8" t="n">
        <v>1647179.3746</v>
      </c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Calzado</t>
        </is>
      </c>
      <c r="B126" s="8" t="n"/>
      <c r="C126" s="8" t="n"/>
      <c r="D126" s="6">
        <f>IF(B126=0, "N/A", (C126-B126)/B126)</f>
        <v/>
      </c>
      <c r="E126" s="8" t="n"/>
      <c r="F126" s="8" t="n"/>
      <c r="G126" s="6">
        <f>IF(E126=0, "N/A", (F126-E126)/E126)</f>
        <v/>
      </c>
      <c r="H126" s="8" t="n"/>
      <c r="I126" s="8" t="n">
        <v>61290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Camisas</t>
        </is>
      </c>
      <c r="B127" s="8" t="n">
        <v>635641.7461</v>
      </c>
      <c r="C127" s="8" t="n"/>
      <c r="D127" s="6">
        <f>IF(B127=0, "N/A", (C127-B127)/B127)</f>
        <v/>
      </c>
      <c r="E127" s="8" t="n">
        <v>421500</v>
      </c>
      <c r="F127" s="8" t="n">
        <v>200800</v>
      </c>
      <c r="G127" s="6">
        <f>IF(E127=0, "N/A", (F127-E127)/E127)</f>
        <v/>
      </c>
      <c r="H127" s="8" t="n">
        <v>747250</v>
      </c>
      <c r="I127" s="8" t="n">
        <v>58105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Camisetas Manga Larga</t>
        </is>
      </c>
      <c r="B128" s="8" t="n">
        <v>1013555.3917</v>
      </c>
      <c r="C128" s="8" t="n">
        <v>1279140</v>
      </c>
      <c r="D128" s="6">
        <f>IF(B128=0, "N/A", (C128-B128)/B128)</f>
        <v/>
      </c>
      <c r="E128" s="8" t="n">
        <v>1877160.2282</v>
      </c>
      <c r="F128" s="8" t="n">
        <v>1683629.4102</v>
      </c>
      <c r="G128" s="6">
        <f>IF(E128=0, "N/A", (F128-E128)/E128)</f>
        <v/>
      </c>
      <c r="H128" s="8" t="n">
        <v>3350478.1266</v>
      </c>
      <c r="I128" s="8" t="n">
        <v>1997690</v>
      </c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2" t="inlineStr">
        <is>
          <t>Campera S Capucha</t>
        </is>
      </c>
      <c r="B129" s="8" t="n">
        <v>478800</v>
      </c>
      <c r="C129" s="8" t="n">
        <v>118910</v>
      </c>
      <c r="D129" s="6">
        <f>IF(B129=0, "N/A", (C129-B129)/B129)</f>
        <v/>
      </c>
      <c r="E129" s="8" t="n">
        <v>900401.4102</v>
      </c>
      <c r="F129" s="8" t="n">
        <v>46500</v>
      </c>
      <c r="G129" s="6">
        <f>IF(E129=0, "N/A", (F129-E129)/E129)</f>
        <v/>
      </c>
      <c r="H129" s="8" t="n">
        <v>2266984.5745</v>
      </c>
      <c r="I129" s="8" t="n">
        <v>642935.6121</v>
      </c>
      <c r="J129" s="6">
        <f>IF(H129=0, "N/A", (I129-H129)/H129)</f>
        <v/>
      </c>
      <c r="K129" s="8">
        <f>B129+E129+H129</f>
        <v/>
      </c>
      <c r="L129" s="8">
        <f>C129+F129+I129</f>
        <v/>
      </c>
      <c r="M129" s="6">
        <f>IF(K129=0, "N/A", (L129-K129)/K129)</f>
        <v/>
      </c>
    </row>
    <row r="130">
      <c r="A130" s="2" t="inlineStr">
        <is>
          <t>Camperas Capucha</t>
        </is>
      </c>
      <c r="B130" s="8" t="n">
        <v>2066331.5795</v>
      </c>
      <c r="C130" s="8" t="n">
        <v>1943500</v>
      </c>
      <c r="D130" s="6">
        <f>IF(B130=0, "N/A", (C130-B130)/B130)</f>
        <v/>
      </c>
      <c r="E130" s="8" t="n">
        <v>1443650.4218</v>
      </c>
      <c r="F130" s="8" t="n">
        <v>2034388.4383</v>
      </c>
      <c r="G130" s="6">
        <f>IF(E130=0, "N/A", (F130-E130)/E130)</f>
        <v/>
      </c>
      <c r="H130" s="8" t="n">
        <v>5185000</v>
      </c>
      <c r="I130" s="8" t="n">
        <v>5881278.416</v>
      </c>
      <c r="J130" s="6">
        <f>IF(H130=0, "N/A", (I130-H130)/H130)</f>
        <v/>
      </c>
      <c r="K130" s="8">
        <f>B130+E130+H130</f>
        <v/>
      </c>
      <c r="L130" s="8">
        <f>C130+F130+I130</f>
        <v/>
      </c>
      <c r="M130" s="6">
        <f>IF(K130=0, "N/A", (L130-K130)/K130)</f>
        <v/>
      </c>
    </row>
    <row r="131">
      <c r="A131" s="2" t="inlineStr">
        <is>
          <t>Camperas De Abrigo</t>
        </is>
      </c>
      <c r="B131" s="8" t="n">
        <v>968800</v>
      </c>
      <c r="C131" s="8" t="n">
        <v>974040</v>
      </c>
      <c r="D131" s="6">
        <f>IF(B131=0, "N/A", (C131-B131)/B131)</f>
        <v/>
      </c>
      <c r="E131" s="8" t="n">
        <v>1402319.9981</v>
      </c>
      <c r="F131" s="8" t="n">
        <v>828700</v>
      </c>
      <c r="G131" s="6">
        <f>IF(E131=0, "N/A", (F131-E131)/E131)</f>
        <v/>
      </c>
      <c r="H131" s="8" t="n">
        <v>2499500</v>
      </c>
      <c r="I131" s="8" t="n">
        <v>3568149.1089</v>
      </c>
      <c r="J131" s="6">
        <f>IF(H131=0, "N/A", (I131-H131)/H131)</f>
        <v/>
      </c>
      <c r="K131" s="8">
        <f>B131+E131+H131</f>
        <v/>
      </c>
      <c r="L131" s="8">
        <f>C131+F131+I131</f>
        <v/>
      </c>
      <c r="M131" s="6">
        <f>IF(K131=0, "N/A", (L131-K131)/K131)</f>
        <v/>
      </c>
    </row>
    <row r="132">
      <c r="A132" s="2" t="inlineStr">
        <is>
          <t>Chombas</t>
        </is>
      </c>
      <c r="B132" s="8" t="n">
        <v>90959.9396</v>
      </c>
      <c r="C132" s="8" t="n">
        <v>59700</v>
      </c>
      <c r="D132" s="6">
        <f>IF(B132=0, "N/A", (C132-B132)/B132)</f>
        <v/>
      </c>
      <c r="E132" s="8" t="n">
        <v>129500</v>
      </c>
      <c r="F132" s="8" t="n">
        <v>108900</v>
      </c>
      <c r="G132" s="6">
        <f>IF(E132=0, "N/A", (F132-E132)/E132)</f>
        <v/>
      </c>
      <c r="H132" s="8" t="n">
        <v>304560</v>
      </c>
      <c r="I132" s="8" t="n">
        <v>524226.6794</v>
      </c>
      <c r="J132" s="6">
        <f>IF(H132=0, "N/A", (I132-H132)/H132)</f>
        <v/>
      </c>
      <c r="K132" s="8">
        <f>B132+E132+H132</f>
        <v/>
      </c>
      <c r="L132" s="8">
        <f>C132+F132+I132</f>
        <v/>
      </c>
      <c r="M132" s="6">
        <f>IF(K132=0, "N/A", (L132-K132)/K132)</f>
        <v/>
      </c>
    </row>
    <row r="133">
      <c r="A133" s="2" t="inlineStr">
        <is>
          <t>Chombas Manga Larga</t>
        </is>
      </c>
      <c r="B133" s="8" t="n">
        <v>38000</v>
      </c>
      <c r="C133" s="8" t="n">
        <v>825700</v>
      </c>
      <c r="D133" s="6">
        <f>IF(B133=0, "N/A", (C133-B133)/B133)</f>
        <v/>
      </c>
      <c r="E133" s="8" t="n"/>
      <c r="F133" s="8" t="n">
        <v>897500</v>
      </c>
      <c r="G133" s="6">
        <f>IF(E133=0, "N/A", (F133-E133)/E133)</f>
        <v/>
      </c>
      <c r="H133" s="8" t="n">
        <v>102500</v>
      </c>
      <c r="I133" s="8" t="n">
        <v>99300</v>
      </c>
      <c r="J133" s="6">
        <f>IF(H133=0, "N/A", (I133-H133)/H133)</f>
        <v/>
      </c>
      <c r="K133" s="8">
        <f>B133+E133+H133</f>
        <v/>
      </c>
      <c r="L133" s="8">
        <f>C133+F133+I133</f>
        <v/>
      </c>
      <c r="M133" s="6">
        <f>IF(K133=0, "N/A", (L133-K133)/K133)</f>
        <v/>
      </c>
    </row>
    <row r="134">
      <c r="A134" s="2" t="inlineStr">
        <is>
          <t>Jeans</t>
        </is>
      </c>
      <c r="B134" s="8" t="n">
        <v>2489422.424</v>
      </c>
      <c r="C134" s="8" t="n">
        <v>3138300</v>
      </c>
      <c r="D134" s="6">
        <f>IF(B134=0, "N/A", (C134-B134)/B134)</f>
        <v/>
      </c>
      <c r="E134" s="8" t="n">
        <v>4127256.0878</v>
      </c>
      <c r="F134" s="8" t="n">
        <v>3239475.1754</v>
      </c>
      <c r="G134" s="6">
        <f>IF(E134=0, "N/A", (F134-E134)/E134)</f>
        <v/>
      </c>
      <c r="H134" s="8" t="n">
        <v>11167415.4351</v>
      </c>
      <c r="I134" s="8" t="n">
        <v>16099518.1113</v>
      </c>
      <c r="J134" s="6">
        <f>IF(H134=0, "N/A", (I134-H134)/H134)</f>
        <v/>
      </c>
      <c r="K134" s="8">
        <f>B134+E134+H134</f>
        <v/>
      </c>
      <c r="L134" s="8">
        <f>C134+F134+I134</f>
        <v/>
      </c>
      <c r="M134" s="6">
        <f>IF(K134=0, "N/A", (L134-K134)/K134)</f>
        <v/>
      </c>
    </row>
    <row r="135">
      <c r="A135" s="2" t="inlineStr">
        <is>
          <t>Jogging</t>
        </is>
      </c>
      <c r="B135" s="8" t="n">
        <v>1650342.6431</v>
      </c>
      <c r="C135" s="8" t="n">
        <v>475000</v>
      </c>
      <c r="D135" s="6">
        <f>IF(B135=0, "N/A", (C135-B135)/B135)</f>
        <v/>
      </c>
      <c r="E135" s="8" t="n">
        <v>1167895.2303</v>
      </c>
      <c r="F135" s="8" t="n">
        <v>1050961.0364</v>
      </c>
      <c r="G135" s="6">
        <f>IF(E135=0, "N/A", (F135-E135)/E135)</f>
        <v/>
      </c>
      <c r="H135" s="8" t="n">
        <v>3473234.5336</v>
      </c>
      <c r="I135" s="8" t="n">
        <v>2933353.2902</v>
      </c>
      <c r="J135" s="6">
        <f>IF(H135=0, "N/A", (I135-H135)/H135)</f>
        <v/>
      </c>
      <c r="K135" s="8">
        <f>B135+E135+H135</f>
        <v/>
      </c>
      <c r="L135" s="8">
        <f>C135+F135+I135</f>
        <v/>
      </c>
      <c r="M135" s="6">
        <f>IF(K135=0, "N/A", (L135-K135)/K135)</f>
        <v/>
      </c>
    </row>
    <row r="136">
      <c r="A136" s="2" t="inlineStr">
        <is>
          <t>Jogging Corto</t>
        </is>
      </c>
      <c r="B136" s="8" t="n"/>
      <c r="C136" s="8" t="n"/>
      <c r="D136" s="6">
        <f>IF(B136=0, "N/A", (C136-B136)/B136)</f>
        <v/>
      </c>
      <c r="E136" s="8" t="n"/>
      <c r="F136" s="8" t="n">
        <v>39900</v>
      </c>
      <c r="G136" s="6">
        <f>IF(E136=0, "N/A", (F136-E136)/E136)</f>
        <v/>
      </c>
      <c r="H136" s="8" t="n"/>
      <c r="I136" s="8" t="n"/>
      <c r="J136" s="6">
        <f>IF(H136=0, "N/A", (I136-H136)/H136)</f>
        <v/>
      </c>
      <c r="K136" s="8">
        <f>B136+E136+H136</f>
        <v/>
      </c>
      <c r="L136" s="8">
        <f>C136+F136+I136</f>
        <v/>
      </c>
      <c r="M136" s="6">
        <f>IF(K136=0, "N/A", (L136-K136)/K136)</f>
        <v/>
      </c>
    </row>
    <row r="137">
      <c r="A137" s="2" t="inlineStr">
        <is>
          <t>Musculosas</t>
        </is>
      </c>
      <c r="B137" s="8" t="n"/>
      <c r="C137" s="8" t="n">
        <v>-10000</v>
      </c>
      <c r="D137" s="6">
        <f>IF(B137=0, "N/A", (C137-B137)/B137)</f>
        <v/>
      </c>
      <c r="E137" s="8" t="n">
        <v>9900</v>
      </c>
      <c r="F137" s="8" t="n"/>
      <c r="G137" s="6">
        <f>IF(E137=0, "N/A", (F137-E137)/E137)</f>
        <v/>
      </c>
      <c r="H137" s="8" t="n"/>
      <c r="I137" s="8" t="n">
        <v>69000</v>
      </c>
      <c r="J137" s="6">
        <f>IF(H137=0, "N/A", (I137-H137)/H137)</f>
        <v/>
      </c>
      <c r="K137" s="8">
        <f>B137+E137+H137</f>
        <v/>
      </c>
      <c r="L137" s="8">
        <f>C137+F137+I137</f>
        <v/>
      </c>
      <c r="M137" s="6">
        <f>IF(K137=0, "N/A", (L137-K137)/K137)</f>
        <v/>
      </c>
    </row>
    <row r="138">
      <c r="A138" s="2" t="inlineStr">
        <is>
          <t>Otro</t>
        </is>
      </c>
      <c r="B138" s="8" t="n">
        <v>1</v>
      </c>
      <c r="C138" s="8" t="n"/>
      <c r="D138" s="6">
        <f>IF(B138=0, "N/A", (C138-B138)/B138)</f>
        <v/>
      </c>
      <c r="E138" s="8" t="n">
        <v>43561.6754</v>
      </c>
      <c r="F138" s="8" t="n"/>
      <c r="G138" s="6">
        <f>IF(E138=0, "N/A", (F138-E138)/E138)</f>
        <v/>
      </c>
      <c r="H138" s="8" t="n">
        <v>1</v>
      </c>
      <c r="I138" s="8" t="n">
        <v>111800</v>
      </c>
      <c r="J138" s="6">
        <f>IF(H138=0, "N/A", (I138-H138)/H138)</f>
        <v/>
      </c>
      <c r="K138" s="8">
        <f>B138+E138+H138</f>
        <v/>
      </c>
      <c r="L138" s="8">
        <f>C138+F138+I138</f>
        <v/>
      </c>
      <c r="M138" s="6">
        <f>IF(K138=0, "N/A", (L138-K138)/K138)</f>
        <v/>
      </c>
    </row>
    <row r="139">
      <c r="A139" s="2" t="inlineStr">
        <is>
          <t>Remeras</t>
        </is>
      </c>
      <c r="B139" s="8" t="n">
        <v>2686117.1339</v>
      </c>
      <c r="C139" s="8" t="n">
        <v>2278800</v>
      </c>
      <c r="D139" s="6">
        <f>IF(B139=0, "N/A", (C139-B139)/B139)</f>
        <v/>
      </c>
      <c r="E139" s="8" t="n">
        <v>3924930.6659</v>
      </c>
      <c r="F139" s="8" t="n">
        <v>5260828.1403</v>
      </c>
      <c r="G139" s="6">
        <f>IF(E139=0, "N/A", (F139-E139)/E139)</f>
        <v/>
      </c>
      <c r="H139" s="8" t="n">
        <v>9098043.353700001</v>
      </c>
      <c r="I139" s="8" t="n">
        <v>6964934.2802</v>
      </c>
      <c r="J139" s="6">
        <f>IF(H139=0, "N/A", (I139-H139)/H139)</f>
        <v/>
      </c>
      <c r="K139" s="8">
        <f>B139+E139+H139</f>
        <v/>
      </c>
      <c r="L139" s="8">
        <f>C139+F139+I139</f>
        <v/>
      </c>
      <c r="M139" s="6">
        <f>IF(K139=0, "N/A", (L139-K139)/K139)</f>
        <v/>
      </c>
    </row>
    <row r="140">
      <c r="A140" s="2" t="inlineStr">
        <is>
          <t>Sweaters</t>
        </is>
      </c>
      <c r="B140" s="8" t="n">
        <v>748198.6118</v>
      </c>
      <c r="C140" s="8" t="n">
        <v>1286340</v>
      </c>
      <c r="D140" s="6">
        <f>IF(B140=0, "N/A", (C140-B140)/B140)</f>
        <v/>
      </c>
      <c r="E140" s="8" t="n">
        <v>1345764.0078</v>
      </c>
      <c r="F140" s="8" t="n">
        <v>819405.6551</v>
      </c>
      <c r="G140" s="6">
        <f>IF(E140=0, "N/A", (F140-E140)/E140)</f>
        <v/>
      </c>
      <c r="H140" s="8" t="n">
        <v>2685400</v>
      </c>
      <c r="I140" s="8" t="n">
        <v>1642500</v>
      </c>
      <c r="J140" s="6">
        <f>IF(H140=0, "N/A", (I140-H140)/H140)</f>
        <v/>
      </c>
      <c r="K140" s="8">
        <f>B140+E140+H140</f>
        <v/>
      </c>
      <c r="L140" s="8">
        <f>C140+F140+I140</f>
        <v/>
      </c>
      <c r="M140" s="6">
        <f>IF(K140=0, "N/A", (L140-K140)/K140)</f>
        <v/>
      </c>
    </row>
    <row r="141">
      <c r="A141" s="2" t="inlineStr">
        <is>
          <t>Trajes De Baño</t>
        </is>
      </c>
      <c r="B141" s="8" t="n"/>
      <c r="C141" s="8" t="n"/>
      <c r="D141" s="6">
        <f>IF(B141=0, "N/A", (C141-B141)/B141)</f>
        <v/>
      </c>
      <c r="E141" s="8" t="n">
        <v>18900</v>
      </c>
      <c r="F141" s="8" t="n"/>
      <c r="G141" s="6">
        <f>IF(E141=0, "N/A", (F141-E141)/E141)</f>
        <v/>
      </c>
      <c r="H141" s="8" t="n">
        <v>13900</v>
      </c>
      <c r="I141" s="8" t="n"/>
      <c r="J141" s="6">
        <f>IF(H141=0, "N/A", (I141-H141)/H141)</f>
        <v/>
      </c>
      <c r="K141" s="8">
        <f>B141+E141+H141</f>
        <v/>
      </c>
      <c r="L141" s="8">
        <f>C141+F141+I141</f>
        <v/>
      </c>
      <c r="M141" s="6">
        <f>IF(K141=0, "N/A", (L141-K141)/K141)</f>
        <v/>
      </c>
    </row>
    <row r="142">
      <c r="A142" s="5" t="inlineStr">
        <is>
          <t>Totals</t>
        </is>
      </c>
      <c r="B142" s="9">
        <f>SUM($B116:$B141)</f>
        <v/>
      </c>
      <c r="C142" s="9">
        <f>SUM($C116:$C141)</f>
        <v/>
      </c>
      <c r="D142" s="7">
        <f>IF(B142=0, "N/A", (C142-B142)/B142)</f>
        <v/>
      </c>
      <c r="E142" s="9">
        <f>SUM($E116:$E141)</f>
        <v/>
      </c>
      <c r="F142" s="9">
        <f>SUM($F116:$F141)</f>
        <v/>
      </c>
      <c r="G142" s="7">
        <f>IF(E142=0, "N/A", (F142-E142)/E142)</f>
        <v/>
      </c>
      <c r="H142" s="9">
        <f>SUM($H116:$H141)</f>
        <v/>
      </c>
      <c r="I142" s="9">
        <f>SUM($I116:$I141)</f>
        <v/>
      </c>
      <c r="J142" s="7">
        <f>IF(H142=0, "N/A", (I142-H142)/H142)</f>
        <v/>
      </c>
      <c r="K142" s="9">
        <f>SUM($K116:$K141)</f>
        <v/>
      </c>
      <c r="L142" s="9">
        <f>SUM($L116:$L141)</f>
        <v/>
      </c>
      <c r="M142" s="7">
        <f>IF(K142=0, "N/A", (L142-K142)/K142)</f>
        <v/>
      </c>
    </row>
    <row r="145">
      <c r="A145" s="1" t="inlineStr">
        <is>
          <t>YoY Sales Amount Comparison - Branch Group 2</t>
        </is>
      </c>
    </row>
    <row r="146">
      <c r="B146" s="1" t="inlineStr">
        <is>
          <t>VIRREYES</t>
        </is>
      </c>
      <c r="C146" s="1" t="n"/>
      <c r="D146" s="1" t="n"/>
    </row>
    <row r="147">
      <c r="A147" s="1" t="inlineStr">
        <is>
          <t>Familias</t>
        </is>
      </c>
      <c r="B147" s="1" t="n">
        <v>2025</v>
      </c>
      <c r="C147" s="1" t="n">
        <v>2026</v>
      </c>
      <c r="D147" s="1" t="inlineStr">
        <is>
          <t>%</t>
        </is>
      </c>
    </row>
    <row r="148">
      <c r="A148" s="2" t="inlineStr">
        <is>
          <t>Accesorios</t>
        </is>
      </c>
      <c r="B148" s="8" t="n">
        <v>33898</v>
      </c>
      <c r="C148" s="8" t="n">
        <v>55100.0004</v>
      </c>
      <c r="D148" s="6">
        <f>IF(B148=0, "N/A", (C148-B148)/B148)</f>
        <v/>
      </c>
    </row>
    <row r="149">
      <c r="A149" s="2" t="inlineStr">
        <is>
          <t>Boxer</t>
        </is>
      </c>
      <c r="B149" s="8" t="n">
        <v>40500</v>
      </c>
      <c r="C149" s="8" t="n">
        <v>68150.00080000001</v>
      </c>
      <c r="D149" s="6">
        <f>IF(B149=0, "N/A", (C149-B149)/B149)</f>
        <v/>
      </c>
    </row>
    <row r="150">
      <c r="A150" s="2" t="inlineStr">
        <is>
          <t>Buzo Cuello Redondo</t>
        </is>
      </c>
      <c r="B150" s="8" t="n">
        <v>354980</v>
      </c>
      <c r="C150" s="8" t="n">
        <v>68399.99739999999</v>
      </c>
      <c r="D150" s="6">
        <f>IF(B150=0, "N/A", (C150-B150)/B150)</f>
        <v/>
      </c>
    </row>
    <row r="151">
      <c r="A151" s="2" t="inlineStr">
        <is>
          <t>Buzos C Capucha</t>
        </is>
      </c>
      <c r="B151" s="8" t="n">
        <v>659995</v>
      </c>
      <c r="C151" s="8" t="n">
        <v>131320.0025</v>
      </c>
      <c r="D151" s="6">
        <f>IF(B151=0, "N/A", (C151-B151)/B151)</f>
        <v/>
      </c>
    </row>
    <row r="152">
      <c r="A152" s="2" t="inlineStr">
        <is>
          <t>Buzos C Capucha Orangutan</t>
        </is>
      </c>
      <c r="B152" s="8" t="n"/>
      <c r="C152" s="8" t="n">
        <v>94810</v>
      </c>
      <c r="D152" s="6">
        <f>IF(B152=0, "N/A", (C152-B152)/B152)</f>
        <v/>
      </c>
    </row>
    <row r="153">
      <c r="A153" s="2" t="inlineStr">
        <is>
          <t>Calzado</t>
        </is>
      </c>
      <c r="B153" s="8" t="n">
        <v>50600</v>
      </c>
      <c r="C153" s="8" t="n"/>
      <c r="D153" s="6">
        <f>IF(B153=0, "N/A", (C153-B153)/B153)</f>
        <v/>
      </c>
    </row>
    <row r="154">
      <c r="A154" s="2" t="inlineStr">
        <is>
          <t>Camisas</t>
        </is>
      </c>
      <c r="B154" s="8" t="n">
        <v>510</v>
      </c>
      <c r="C154" s="8" t="n"/>
      <c r="D154" s="6">
        <f>IF(B154=0, "N/A", (C154-B154)/B154)</f>
        <v/>
      </c>
    </row>
    <row r="155">
      <c r="A155" s="2" t="inlineStr">
        <is>
          <t>Camisetas Manga Larga</t>
        </is>
      </c>
      <c r="B155" s="8" t="n">
        <v>72000</v>
      </c>
      <c r="C155" s="8" t="n"/>
      <c r="D155" s="6">
        <f>IF(B155=0, "N/A", (C155-B155)/B155)</f>
        <v/>
      </c>
    </row>
    <row r="156">
      <c r="A156" s="2" t="inlineStr">
        <is>
          <t>Camperas Capucha</t>
        </is>
      </c>
      <c r="B156" s="8" t="n">
        <v>322200</v>
      </c>
      <c r="C156" s="8" t="n">
        <v>339320</v>
      </c>
      <c r="D156" s="6">
        <f>IF(B156=0, "N/A", (C156-B156)/B156)</f>
        <v/>
      </c>
    </row>
    <row r="157">
      <c r="A157" s="2" t="inlineStr">
        <is>
          <t>Camperas De Abrigo</t>
        </is>
      </c>
      <c r="B157" s="8" t="n">
        <v>330000</v>
      </c>
      <c r="C157" s="8" t="n">
        <v>58900</v>
      </c>
      <c r="D157" s="6">
        <f>IF(B157=0, "N/A", (C157-B157)/B157)</f>
        <v/>
      </c>
    </row>
    <row r="158">
      <c r="A158" s="2" t="inlineStr">
        <is>
          <t>Chombas</t>
        </is>
      </c>
      <c r="B158" s="8" t="n"/>
      <c r="C158" s="8" t="n">
        <v>19900</v>
      </c>
      <c r="D158" s="6">
        <f>IF(B158=0, "N/A", (C158-B158)/B158)</f>
        <v/>
      </c>
    </row>
    <row r="159">
      <c r="A159" s="2" t="inlineStr">
        <is>
          <t>Jeans</t>
        </is>
      </c>
      <c r="B159" s="8" t="n">
        <v>347720</v>
      </c>
      <c r="C159" s="8" t="n">
        <v>632289.9987</v>
      </c>
      <c r="D159" s="6">
        <f>IF(B159=0, "N/A", (C159-B159)/B159)</f>
        <v/>
      </c>
    </row>
    <row r="160">
      <c r="A160" s="2" t="inlineStr">
        <is>
          <t>Jogging</t>
        </is>
      </c>
      <c r="B160" s="8" t="n">
        <v>237000</v>
      </c>
      <c r="C160" s="8" t="n">
        <v>53100</v>
      </c>
      <c r="D160" s="6">
        <f>IF(B160=0, "N/A", (C160-B160)/B160)</f>
        <v/>
      </c>
    </row>
    <row r="161">
      <c r="A161" s="2" t="inlineStr">
        <is>
          <t>Otro</t>
        </is>
      </c>
      <c r="B161" s="8" t="n">
        <v>12901</v>
      </c>
      <c r="C161" s="8" t="n">
        <v>47620</v>
      </c>
      <c r="D161" s="6">
        <f>IF(B161=0, "N/A", (C161-B161)/B161)</f>
        <v/>
      </c>
    </row>
    <row r="162">
      <c r="A162" s="2" t="inlineStr">
        <is>
          <t>Remeras</t>
        </is>
      </c>
      <c r="B162" s="8" t="n">
        <v>711639</v>
      </c>
      <c r="C162" s="8" t="n">
        <v>379180.0002</v>
      </c>
      <c r="D162" s="6">
        <f>IF(B162=0, "N/A", (C162-B162)/B162)</f>
        <v/>
      </c>
    </row>
    <row r="163">
      <c r="A163" s="2" t="inlineStr">
        <is>
          <t>Sweaters</t>
        </is>
      </c>
      <c r="B163" s="8" t="n">
        <v>86000</v>
      </c>
      <c r="C163" s="8" t="n">
        <v>68400</v>
      </c>
      <c r="D163" s="6">
        <f>IF(B163=0, "N/A", (C163-B163)/B163)</f>
        <v/>
      </c>
    </row>
    <row r="164">
      <c r="A164" s="5" t="inlineStr">
        <is>
          <t>Totals</t>
        </is>
      </c>
      <c r="B164" s="9">
        <f>SUM($B148:$B163)</f>
        <v/>
      </c>
      <c r="C164" s="9">
        <f>SUM($C148:$C163)</f>
        <v/>
      </c>
      <c r="D164" s="7">
        <f>IF(B164=0, "N/A", (C164-B164)/B164)</f>
        <v/>
      </c>
    </row>
  </sheetData>
  <mergeCells count="16">
    <mergeCell ref="H114:I114"/>
    <mergeCell ref="A84:F84"/>
    <mergeCell ref="A145:D145"/>
    <mergeCell ref="A1:F1"/>
    <mergeCell ref="A62:D62"/>
    <mergeCell ref="B114:C114"/>
    <mergeCell ref="B146:C146"/>
    <mergeCell ref="A30:M30"/>
    <mergeCell ref="K114:L114"/>
    <mergeCell ref="B31:C31"/>
    <mergeCell ref="H31:I31"/>
    <mergeCell ref="K31:L31"/>
    <mergeCell ref="B63:C63"/>
    <mergeCell ref="A113:M113"/>
    <mergeCell ref="E31:F31"/>
    <mergeCell ref="E114:F1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May 02, 2026 to May 31,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35</v>
      </c>
      <c r="C3" s="3" t="n">
        <v>50</v>
      </c>
      <c r="D3" s="3" t="n">
        <v>70</v>
      </c>
      <c r="E3" s="3" t="n">
        <v>1</v>
      </c>
      <c r="F3" s="4">
        <f>B3+C3+D3+E3</f>
        <v/>
      </c>
    </row>
    <row r="4">
      <c r="A4" s="2" t="inlineStr">
        <is>
          <t>Bermudas</t>
        </is>
      </c>
      <c r="B4" s="3" t="n"/>
      <c r="C4" s="3" t="n">
        <v>1</v>
      </c>
      <c r="D4" s="3" t="n">
        <v>-1</v>
      </c>
      <c r="E4" s="3" t="n"/>
      <c r="F4" s="4">
        <f>B4+C4+D4+E4</f>
        <v/>
      </c>
    </row>
    <row r="5">
      <c r="A5" s="2" t="inlineStr">
        <is>
          <t>Boxer</t>
        </is>
      </c>
      <c r="B5" s="3" t="n">
        <v>10</v>
      </c>
      <c r="C5" s="3" t="n">
        <v>32</v>
      </c>
      <c r="D5" s="3" t="n">
        <v>103</v>
      </c>
      <c r="E5" s="3" t="n">
        <v>2</v>
      </c>
      <c r="F5" s="4">
        <f>B5+C5+D5+E5</f>
        <v/>
      </c>
    </row>
    <row r="6">
      <c r="A6" s="2" t="inlineStr">
        <is>
          <t>Buzo C Capucha Rustico</t>
        </is>
      </c>
      <c r="B6" s="3" t="n"/>
      <c r="C6" s="3" t="n"/>
      <c r="D6" s="3" t="n">
        <v>1</v>
      </c>
      <c r="E6" s="3" t="n"/>
      <c r="F6" s="4">
        <f>B6+C6+D6+E6</f>
        <v/>
      </c>
    </row>
    <row r="7">
      <c r="A7" s="2" t="inlineStr">
        <is>
          <t>Buzo Cuello Redondo</t>
        </is>
      </c>
      <c r="B7" s="3" t="n">
        <v>52</v>
      </c>
      <c r="C7" s="3" t="n">
        <v>74</v>
      </c>
      <c r="D7" s="3" t="n">
        <v>191</v>
      </c>
      <c r="E7" s="3" t="n">
        <v>5</v>
      </c>
      <c r="F7" s="4">
        <f>B7+C7+D7+E7</f>
        <v/>
      </c>
    </row>
    <row r="8">
      <c r="A8" s="2" t="inlineStr">
        <is>
          <t>Buzos C Capucha</t>
        </is>
      </c>
      <c r="B8" s="3" t="n">
        <v>53</v>
      </c>
      <c r="C8" s="3" t="n">
        <v>77</v>
      </c>
      <c r="D8" s="3" t="n">
        <v>109</v>
      </c>
      <c r="E8" s="3" t="n">
        <v>13</v>
      </c>
      <c r="F8" s="4">
        <f>B8+C8+D8+E8</f>
        <v/>
      </c>
    </row>
    <row r="9">
      <c r="A9" s="2" t="inlineStr">
        <is>
          <t>Buzos C Capucha Orangutan</t>
        </is>
      </c>
      <c r="B9" s="3" t="n">
        <v>14</v>
      </c>
      <c r="C9" s="3" t="n">
        <v>18</v>
      </c>
      <c r="D9" s="3" t="n">
        <v>55</v>
      </c>
      <c r="E9" s="3" t="n">
        <v>4</v>
      </c>
      <c r="F9" s="4">
        <f>B9+C9+D9+E9</f>
        <v/>
      </c>
    </row>
    <row r="10">
      <c r="A10" s="2" t="inlineStr">
        <is>
          <t>Buzos C Redondo Orangutan</t>
        </is>
      </c>
      <c r="B10" s="3" t="n">
        <v>22</v>
      </c>
      <c r="C10" s="3" t="n">
        <v>57</v>
      </c>
      <c r="D10" s="3" t="n">
        <v>85</v>
      </c>
      <c r="E10" s="3" t="n">
        <v>1</v>
      </c>
      <c r="F10" s="4">
        <f>B10+C10+D10+E10</f>
        <v/>
      </c>
    </row>
    <row r="11">
      <c r="A11" s="2" t="inlineStr">
        <is>
          <t>Buzos Medio Cierre</t>
        </is>
      </c>
      <c r="B11" s="3" t="n">
        <v>21</v>
      </c>
      <c r="C11" s="3" t="n">
        <v>15</v>
      </c>
      <c r="D11" s="3" t="n">
        <v>68</v>
      </c>
      <c r="E11" s="3" t="n"/>
      <c r="F11" s="4">
        <f>B11+C11+D11+E11</f>
        <v/>
      </c>
    </row>
    <row r="12">
      <c r="A12" s="2" t="inlineStr">
        <is>
          <t>Camisas</t>
        </is>
      </c>
      <c r="B12" s="3" t="n">
        <v>2</v>
      </c>
      <c r="C12" s="3" t="n"/>
      <c r="D12" s="3" t="n"/>
      <c r="E12" s="3" t="n"/>
      <c r="F12" s="4">
        <f>B12+C12+D12+E12</f>
        <v/>
      </c>
    </row>
    <row r="13">
      <c r="A13" s="2" t="inlineStr">
        <is>
          <t>Camisetas Manga Larga</t>
        </is>
      </c>
      <c r="B13" s="3" t="n">
        <v>68</v>
      </c>
      <c r="C13" s="3" t="n">
        <v>104</v>
      </c>
      <c r="D13" s="3" t="n">
        <v>142</v>
      </c>
      <c r="E13" s="3" t="n"/>
      <c r="F13" s="4">
        <f>B13+C13+D13+E13</f>
        <v/>
      </c>
    </row>
    <row r="14">
      <c r="A14" s="2" t="inlineStr">
        <is>
          <t>Camisetas Manga Larga Orangutan</t>
        </is>
      </c>
      <c r="B14" s="3" t="n">
        <v>6</v>
      </c>
      <c r="C14" s="3" t="n">
        <v>17</v>
      </c>
      <c r="D14" s="3" t="n">
        <v>36</v>
      </c>
      <c r="E14" s="3" t="n">
        <v>4</v>
      </c>
      <c r="F14" s="4">
        <f>B14+C14+D14+E14</f>
        <v/>
      </c>
    </row>
    <row r="15">
      <c r="A15" s="2" t="inlineStr">
        <is>
          <t>Campera S Capucha</t>
        </is>
      </c>
      <c r="B15" s="3" t="n">
        <v>2</v>
      </c>
      <c r="C15" s="3" t="n">
        <v>2</v>
      </c>
      <c r="D15" s="3" t="n">
        <v>52</v>
      </c>
      <c r="E15" s="3" t="n"/>
      <c r="F15" s="4">
        <f>B15+C15+D15+E15</f>
        <v/>
      </c>
    </row>
    <row r="16">
      <c r="A16" s="2" t="inlineStr">
        <is>
          <t>Camperas Capucha</t>
        </is>
      </c>
      <c r="B16" s="3" t="n">
        <v>24</v>
      </c>
      <c r="C16" s="3" t="n">
        <v>22</v>
      </c>
      <c r="D16" s="3" t="n">
        <v>128</v>
      </c>
      <c r="E16" s="3" t="n">
        <v>1</v>
      </c>
      <c r="F16" s="4">
        <f>B16+C16+D16+E16</f>
        <v/>
      </c>
    </row>
    <row r="17">
      <c r="A17" s="2" t="inlineStr">
        <is>
          <t>Camperas De Abrigo</t>
        </is>
      </c>
      <c r="B17" s="3" t="n">
        <v>43</v>
      </c>
      <c r="C17" s="3" t="n">
        <v>32</v>
      </c>
      <c r="D17" s="3" t="n">
        <v>67</v>
      </c>
      <c r="E17" s="3" t="n">
        <v>2</v>
      </c>
      <c r="F17" s="4">
        <f>B17+C17+D17+E17</f>
        <v/>
      </c>
    </row>
    <row r="18">
      <c r="A18" s="2" t="inlineStr">
        <is>
          <t>Chombas</t>
        </is>
      </c>
      <c r="B18" s="3" t="n">
        <v>-1</v>
      </c>
      <c r="C18" s="3" t="n">
        <v>4</v>
      </c>
      <c r="D18" s="3" t="n">
        <v>1</v>
      </c>
      <c r="E18" s="3" t="n"/>
      <c r="F18" s="4">
        <f>B18+C18+D18+E18</f>
        <v/>
      </c>
    </row>
    <row r="19">
      <c r="A19" s="2" t="inlineStr">
        <is>
          <t>Chombas Manga Larga</t>
        </is>
      </c>
      <c r="B19" s="3" t="n">
        <v>16</v>
      </c>
      <c r="C19" s="3" t="n">
        <v>13</v>
      </c>
      <c r="D19" s="3" t="n">
        <v>-1</v>
      </c>
      <c r="E19" s="3" t="n">
        <v>1</v>
      </c>
      <c r="F19" s="4">
        <f>B19+C19+D19+E19</f>
        <v/>
      </c>
    </row>
    <row r="20">
      <c r="A20" s="2" t="inlineStr">
        <is>
          <t>Jeans</t>
        </is>
      </c>
      <c r="B20" s="3" t="n">
        <v>60</v>
      </c>
      <c r="C20" s="3" t="n">
        <v>56</v>
      </c>
      <c r="D20" s="3" t="n">
        <v>348</v>
      </c>
      <c r="E20" s="3" t="n">
        <v>8</v>
      </c>
      <c r="F20" s="4">
        <f>B20+C20+D20+E20</f>
        <v/>
      </c>
    </row>
    <row r="21">
      <c r="A21" s="2" t="inlineStr">
        <is>
          <t>Jogging</t>
        </is>
      </c>
      <c r="B21" s="3" t="n">
        <v>18</v>
      </c>
      <c r="C21" s="3" t="n">
        <v>24</v>
      </c>
      <c r="D21" s="3" t="n">
        <v>98</v>
      </c>
      <c r="E21" s="3" t="n">
        <v>3</v>
      </c>
      <c r="F21" s="4">
        <f>B21+C21+D21+E21</f>
        <v/>
      </c>
    </row>
    <row r="22">
      <c r="A22" s="2" t="inlineStr">
        <is>
          <t>Musculosas</t>
        </is>
      </c>
      <c r="B22" s="3" t="n">
        <v>1</v>
      </c>
      <c r="C22" s="3" t="n"/>
      <c r="D22" s="3" t="n"/>
      <c r="E22" s="3" t="n"/>
      <c r="F22" s="4">
        <f>B22+C22+D22+E22</f>
        <v/>
      </c>
    </row>
    <row r="23">
      <c r="A23" s="2" t="inlineStr">
        <is>
          <t>Otro</t>
        </is>
      </c>
      <c r="B23" s="3" t="n"/>
      <c r="C23" s="3" t="n"/>
      <c r="D23" s="3" t="n">
        <v>1</v>
      </c>
      <c r="E23" s="3" t="n"/>
      <c r="F23" s="4">
        <f>B23+C23+D23+E23</f>
        <v/>
      </c>
    </row>
    <row r="24">
      <c r="A24" s="2" t="inlineStr">
        <is>
          <t>Remeras</t>
        </is>
      </c>
      <c r="B24" s="3" t="n">
        <v>46</v>
      </c>
      <c r="C24" s="3" t="n">
        <v>124</v>
      </c>
      <c r="D24" s="3" t="n">
        <v>127</v>
      </c>
      <c r="E24" s="3" t="n">
        <v>5</v>
      </c>
      <c r="F24" s="4">
        <f>B24+C24+D24+E24</f>
        <v/>
      </c>
    </row>
    <row r="25">
      <c r="A25" s="2" t="inlineStr">
        <is>
          <t>Sweaters</t>
        </is>
      </c>
      <c r="B25" s="3" t="n">
        <v>33</v>
      </c>
      <c r="C25" s="3" t="n">
        <v>34</v>
      </c>
      <c r="D25" s="3" t="n">
        <v>81</v>
      </c>
      <c r="E25" s="3" t="n"/>
      <c r="F25" s="4">
        <f>B25+C25+D25+E25</f>
        <v/>
      </c>
    </row>
    <row r="26">
      <c r="A26" s="2" t="inlineStr">
        <is>
          <t>Trajes De Baño</t>
        </is>
      </c>
      <c r="B26" s="3" t="n"/>
      <c r="C26" s="3" t="n">
        <v>1</v>
      </c>
      <c r="D26" s="3" t="n"/>
      <c r="E26" s="3" t="n"/>
      <c r="F26" s="4">
        <f>B26+C26+D26+E26</f>
        <v/>
      </c>
    </row>
    <row r="27">
      <c r="A27" s="5" t="inlineStr">
        <is>
          <t>Totals</t>
        </is>
      </c>
      <c r="B27" s="4">
        <f>SUM($B$3:$B$26)</f>
        <v/>
      </c>
      <c r="C27" s="4">
        <f>SUM($C$3:$C$26)</f>
        <v/>
      </c>
      <c r="D27" s="4">
        <f>SUM($D$3:$D$26)</f>
        <v/>
      </c>
      <c r="E27" s="4">
        <f>SUM($E$3:$E$26)</f>
        <v/>
      </c>
      <c r="F27" s="4">
        <f>SUM($F$3:$F$26)</f>
        <v/>
      </c>
    </row>
    <row r="30">
      <c r="A30" s="1" t="inlineStr">
        <is>
          <t>YoY Units Sold Comparison - Branch Group 1</t>
        </is>
      </c>
    </row>
    <row r="31">
      <c r="B31" s="1" t="inlineStr">
        <is>
          <t>LIBERT.R</t>
        </is>
      </c>
      <c r="C31" s="1" t="n"/>
      <c r="D31" s="1" t="n"/>
      <c r="E31" s="1" t="inlineStr">
        <is>
          <t>PASO.R</t>
        </is>
      </c>
      <c r="F31" s="1" t="n"/>
      <c r="G31" s="1" t="n"/>
      <c r="H31" s="1" t="inlineStr">
        <is>
          <t>P.OESTE</t>
        </is>
      </c>
      <c r="I31" s="1" t="n"/>
      <c r="J31" s="1" t="n"/>
      <c r="K31" s="1" t="inlineStr">
        <is>
          <t>Global</t>
        </is>
      </c>
      <c r="L31" s="1" t="n"/>
      <c r="M31" s="1" t="n"/>
    </row>
    <row r="32">
      <c r="A32" s="1" t="inlineStr">
        <is>
          <t>Familias</t>
        </is>
      </c>
      <c r="B32" s="1" t="n">
        <v>2025</v>
      </c>
      <c r="C32" s="1" t="n">
        <v>2026</v>
      </c>
      <c r="D32" s="1" t="inlineStr">
        <is>
          <t>%</t>
        </is>
      </c>
      <c r="E32" s="1" t="n">
        <v>2025</v>
      </c>
      <c r="F32" s="1" t="n">
        <v>2026</v>
      </c>
      <c r="G32" s="1" t="inlineStr">
        <is>
          <t>%</t>
        </is>
      </c>
      <c r="H32" s="1" t="n">
        <v>2025</v>
      </c>
      <c r="I32" s="1" t="n">
        <v>2026</v>
      </c>
      <c r="J32" s="1" t="inlineStr">
        <is>
          <t>%</t>
        </is>
      </c>
      <c r="K32" s="1" t="n">
        <v>2025</v>
      </c>
      <c r="L32" s="1" t="n">
        <v>2026</v>
      </c>
      <c r="M32" s="1" t="inlineStr">
        <is>
          <t>%</t>
        </is>
      </c>
    </row>
    <row r="33">
      <c r="A33" s="2" t="inlineStr">
        <is>
          <t>Accesorios</t>
        </is>
      </c>
      <c r="B33" s="3" t="n">
        <v>52</v>
      </c>
      <c r="C33" s="3" t="n">
        <v>35</v>
      </c>
      <c r="D33" s="6">
        <f>IF(B33=0, "N/A", (C33-B33)/B33)</f>
        <v/>
      </c>
      <c r="E33" s="3" t="n">
        <v>45</v>
      </c>
      <c r="F33" s="3" t="n">
        <v>50</v>
      </c>
      <c r="G33" s="6">
        <f>IF(E33=0, "N/A", (F33-E33)/E33)</f>
        <v/>
      </c>
      <c r="H33" s="3" t="n">
        <v>91</v>
      </c>
      <c r="I33" s="3" t="n">
        <v>70</v>
      </c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Bermudas</t>
        </is>
      </c>
      <c r="B34" s="3" t="n"/>
      <c r="C34" s="3" t="n"/>
      <c r="D34" s="6">
        <f>IF(B34=0, "N/A", (C34-B34)/B34)</f>
        <v/>
      </c>
      <c r="E34" s="3" t="n">
        <v>1</v>
      </c>
      <c r="F34" s="3" t="n">
        <v>1</v>
      </c>
      <c r="G34" s="6">
        <f>IF(E34=0, "N/A", (F34-E34)/E34)</f>
        <v/>
      </c>
      <c r="H34" s="3" t="n">
        <v>2</v>
      </c>
      <c r="I34" s="3" t="n">
        <v>-1</v>
      </c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Boxer</t>
        </is>
      </c>
      <c r="B35" s="3" t="n">
        <v>25</v>
      </c>
      <c r="C35" s="3" t="n">
        <v>10</v>
      </c>
      <c r="D35" s="6">
        <f>IF(B35=0, "N/A", (C35-B35)/B35)</f>
        <v/>
      </c>
      <c r="E35" s="3" t="n">
        <v>28</v>
      </c>
      <c r="F35" s="3" t="n">
        <v>32</v>
      </c>
      <c r="G35" s="6">
        <f>IF(E35=0, "N/A", (F35-E35)/E35)</f>
        <v/>
      </c>
      <c r="H35" s="3" t="n">
        <v>55</v>
      </c>
      <c r="I35" s="3" t="n">
        <v>103</v>
      </c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 C Capucha Rustico</t>
        </is>
      </c>
      <c r="B36" s="3" t="n"/>
      <c r="C36" s="3" t="n"/>
      <c r="D36" s="6">
        <f>IF(B36=0, "N/A", (C36-B36)/B36)</f>
        <v/>
      </c>
      <c r="E36" s="3" t="n"/>
      <c r="F36" s="3" t="n"/>
      <c r="G36" s="6">
        <f>IF(E36=0, "N/A", (F36-E36)/E36)</f>
        <v/>
      </c>
      <c r="H36" s="3" t="n"/>
      <c r="I36" s="3" t="n">
        <v>1</v>
      </c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 Cuello Redondo</t>
        </is>
      </c>
      <c r="B37" s="3" t="n">
        <v>31</v>
      </c>
      <c r="C37" s="3" t="n">
        <v>52</v>
      </c>
      <c r="D37" s="6">
        <f>IF(B37=0, "N/A", (C37-B37)/B37)</f>
        <v/>
      </c>
      <c r="E37" s="3" t="n">
        <v>89</v>
      </c>
      <c r="F37" s="3" t="n">
        <v>74</v>
      </c>
      <c r="G37" s="6">
        <f>IF(E37=0, "N/A", (F37-E37)/E37)</f>
        <v/>
      </c>
      <c r="H37" s="3" t="n">
        <v>157</v>
      </c>
      <c r="I37" s="3" t="n">
        <v>191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Buzos C Capucha</t>
        </is>
      </c>
      <c r="B38" s="3" t="n">
        <v>91</v>
      </c>
      <c r="C38" s="3" t="n">
        <v>53</v>
      </c>
      <c r="D38" s="6">
        <f>IF(B38=0, "N/A", (C38-B38)/B38)</f>
        <v/>
      </c>
      <c r="E38" s="3" t="n">
        <v>62</v>
      </c>
      <c r="F38" s="3" t="n">
        <v>77</v>
      </c>
      <c r="G38" s="6">
        <f>IF(E38=0, "N/A", (F38-E38)/E38)</f>
        <v/>
      </c>
      <c r="H38" s="3" t="n">
        <v>191</v>
      </c>
      <c r="I38" s="3" t="n">
        <v>109</v>
      </c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Buzos C Capucha Orangutan</t>
        </is>
      </c>
      <c r="B39" s="3" t="n"/>
      <c r="C39" s="3" t="n">
        <v>14</v>
      </c>
      <c r="D39" s="6">
        <f>IF(B39=0, "N/A", (C39-B39)/B39)</f>
        <v/>
      </c>
      <c r="E39" s="3" t="n"/>
      <c r="F39" s="3" t="n">
        <v>18</v>
      </c>
      <c r="G39" s="6">
        <f>IF(E39=0, "N/A", (F39-E39)/E39)</f>
        <v/>
      </c>
      <c r="H39" s="3" t="n"/>
      <c r="I39" s="3" t="n">
        <v>55</v>
      </c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Buzos C Redondo Orangutan</t>
        </is>
      </c>
      <c r="B40" s="3" t="n"/>
      <c r="C40" s="3" t="n">
        <v>22</v>
      </c>
      <c r="D40" s="6">
        <f>IF(B40=0, "N/A", (C40-B40)/B40)</f>
        <v/>
      </c>
      <c r="E40" s="3" t="n"/>
      <c r="F40" s="3" t="n">
        <v>57</v>
      </c>
      <c r="G40" s="6">
        <f>IF(E40=0, "N/A", (F40-E40)/E40)</f>
        <v/>
      </c>
      <c r="H40" s="3" t="n"/>
      <c r="I40" s="3" t="n">
        <v>85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Buzos Medio Cierre</t>
        </is>
      </c>
      <c r="B41" s="3" t="n">
        <v>5</v>
      </c>
      <c r="C41" s="3" t="n">
        <v>21</v>
      </c>
      <c r="D41" s="6">
        <f>IF(B41=0, "N/A", (C41-B41)/B41)</f>
        <v/>
      </c>
      <c r="E41" s="3" t="n">
        <v>3</v>
      </c>
      <c r="F41" s="3" t="n">
        <v>15</v>
      </c>
      <c r="G41" s="6">
        <f>IF(E41=0, "N/A", (F41-E41)/E41)</f>
        <v/>
      </c>
      <c r="H41" s="3" t="n">
        <v>37</v>
      </c>
      <c r="I41" s="3" t="n">
        <v>68</v>
      </c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Camisas</t>
        </is>
      </c>
      <c r="B42" s="3" t="n">
        <v>6</v>
      </c>
      <c r="C42" s="3" t="n">
        <v>2</v>
      </c>
      <c r="D42" s="6">
        <f>IF(B42=0, "N/A", (C42-B42)/B42)</f>
        <v/>
      </c>
      <c r="E42" s="3" t="n">
        <v>1</v>
      </c>
      <c r="F42" s="3" t="n"/>
      <c r="G42" s="6">
        <f>IF(E42=0, "N/A", (F42-E42)/E42)</f>
        <v/>
      </c>
      <c r="H42" s="3" t="n">
        <v>6</v>
      </c>
      <c r="I42" s="3" t="n"/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Camisetas Manga Larga</t>
        </is>
      </c>
      <c r="B43" s="3" t="n">
        <v>59</v>
      </c>
      <c r="C43" s="3" t="n">
        <v>68</v>
      </c>
      <c r="D43" s="6">
        <f>IF(B43=0, "N/A", (C43-B43)/B43)</f>
        <v/>
      </c>
      <c r="E43" s="3" t="n">
        <v>109</v>
      </c>
      <c r="F43" s="3" t="n">
        <v>104</v>
      </c>
      <c r="G43" s="6">
        <f>IF(E43=0, "N/A", (F43-E43)/E43)</f>
        <v/>
      </c>
      <c r="H43" s="3" t="n">
        <v>36</v>
      </c>
      <c r="I43" s="3" t="n">
        <v>142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Camisetas Manga Larga Orangutan</t>
        </is>
      </c>
      <c r="B44" s="3" t="n"/>
      <c r="C44" s="3" t="n">
        <v>6</v>
      </c>
      <c r="D44" s="6">
        <f>IF(B44=0, "N/A", (C44-B44)/B44)</f>
        <v/>
      </c>
      <c r="E44" s="3" t="n"/>
      <c r="F44" s="3" t="n">
        <v>17</v>
      </c>
      <c r="G44" s="6">
        <f>IF(E44=0, "N/A", (F44-E44)/E44)</f>
        <v/>
      </c>
      <c r="H44" s="3" t="n"/>
      <c r="I44" s="3" t="n">
        <v>36</v>
      </c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Campera S Capucha</t>
        </is>
      </c>
      <c r="B45" s="3" t="n">
        <v>12</v>
      </c>
      <c r="C45" s="3" t="n">
        <v>2</v>
      </c>
      <c r="D45" s="6">
        <f>IF(B45=0, "N/A", (C45-B45)/B45)</f>
        <v/>
      </c>
      <c r="E45" s="3" t="n">
        <v>20</v>
      </c>
      <c r="F45" s="3" t="n">
        <v>2</v>
      </c>
      <c r="G45" s="6">
        <f>IF(E45=0, "N/A", (F45-E45)/E45)</f>
        <v/>
      </c>
      <c r="H45" s="3" t="n">
        <v>53</v>
      </c>
      <c r="I45" s="3" t="n">
        <v>52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Camperas Capucha</t>
        </is>
      </c>
      <c r="B46" s="3" t="n">
        <v>9</v>
      </c>
      <c r="C46" s="3" t="n">
        <v>24</v>
      </c>
      <c r="D46" s="6">
        <f>IF(B46=0, "N/A", (C46-B46)/B46)</f>
        <v/>
      </c>
      <c r="E46" s="3" t="n">
        <v>17</v>
      </c>
      <c r="F46" s="3" t="n">
        <v>22</v>
      </c>
      <c r="G46" s="6">
        <f>IF(E46=0, "N/A", (F46-E46)/E46)</f>
        <v/>
      </c>
      <c r="H46" s="3" t="n">
        <v>124</v>
      </c>
      <c r="I46" s="3" t="n">
        <v>128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Camperas De Abrigo</t>
        </is>
      </c>
      <c r="B47" s="3" t="n">
        <v>31</v>
      </c>
      <c r="C47" s="3" t="n">
        <v>43</v>
      </c>
      <c r="D47" s="6">
        <f>IF(B47=0, "N/A", (C47-B47)/B47)</f>
        <v/>
      </c>
      <c r="E47" s="3" t="n">
        <v>39</v>
      </c>
      <c r="F47" s="3" t="n">
        <v>32</v>
      </c>
      <c r="G47" s="6">
        <f>IF(E47=0, "N/A", (F47-E47)/E47)</f>
        <v/>
      </c>
      <c r="H47" s="3" t="n">
        <v>37</v>
      </c>
      <c r="I47" s="3" t="n">
        <v>67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Chombas</t>
        </is>
      </c>
      <c r="B48" s="3" t="n">
        <v>-1</v>
      </c>
      <c r="C48" s="3" t="n">
        <v>-1</v>
      </c>
      <c r="D48" s="6">
        <f>IF(B48=0, "N/A", (C48-B48)/B48)</f>
        <v/>
      </c>
      <c r="E48" s="3" t="n">
        <v>5</v>
      </c>
      <c r="F48" s="3" t="n">
        <v>4</v>
      </c>
      <c r="G48" s="6">
        <f>IF(E48=0, "N/A", (F48-E48)/E48)</f>
        <v/>
      </c>
      <c r="H48" s="3" t="n">
        <v>3</v>
      </c>
      <c r="I48" s="3" t="n">
        <v>1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Chombas Manga Larga</t>
        </is>
      </c>
      <c r="B49" s="3" t="n"/>
      <c r="C49" s="3" t="n">
        <v>16</v>
      </c>
      <c r="D49" s="6">
        <f>IF(B49=0, "N/A", (C49-B49)/B49)</f>
        <v/>
      </c>
      <c r="E49" s="3" t="n"/>
      <c r="F49" s="3" t="n">
        <v>13</v>
      </c>
      <c r="G49" s="6">
        <f>IF(E49=0, "N/A", (F49-E49)/E49)</f>
        <v/>
      </c>
      <c r="H49" s="3" t="n">
        <v>11</v>
      </c>
      <c r="I49" s="3" t="n">
        <v>-1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Jeans</t>
        </is>
      </c>
      <c r="B50" s="3" t="n">
        <v>57</v>
      </c>
      <c r="C50" s="3" t="n">
        <v>60</v>
      </c>
      <c r="D50" s="6">
        <f>IF(B50=0, "N/A", (C50-B50)/B50)</f>
        <v/>
      </c>
      <c r="E50" s="3" t="n">
        <v>94</v>
      </c>
      <c r="F50" s="3" t="n">
        <v>56</v>
      </c>
      <c r="G50" s="6">
        <f>IF(E50=0, "N/A", (F50-E50)/E50)</f>
        <v/>
      </c>
      <c r="H50" s="3" t="n">
        <v>170</v>
      </c>
      <c r="I50" s="3" t="n">
        <v>348</v>
      </c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Jogging</t>
        </is>
      </c>
      <c r="B51" s="3" t="n">
        <v>15</v>
      </c>
      <c r="C51" s="3" t="n">
        <v>18</v>
      </c>
      <c r="D51" s="6">
        <f>IF(B51=0, "N/A", (C51-B51)/B51)</f>
        <v/>
      </c>
      <c r="E51" s="3" t="n">
        <v>33</v>
      </c>
      <c r="F51" s="3" t="n">
        <v>24</v>
      </c>
      <c r="G51" s="6">
        <f>IF(E51=0, "N/A", (F51-E51)/E51)</f>
        <v/>
      </c>
      <c r="H51" s="3" t="n">
        <v>81</v>
      </c>
      <c r="I51" s="3" t="n">
        <v>98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Jogging Corto</t>
        </is>
      </c>
      <c r="B52" s="3" t="n"/>
      <c r="C52" s="3" t="n"/>
      <c r="D52" s="6">
        <f>IF(B52=0, "N/A", (C52-B52)/B52)</f>
        <v/>
      </c>
      <c r="E52" s="3" t="n"/>
      <c r="F52" s="3" t="n"/>
      <c r="G52" s="6">
        <f>IF(E52=0, "N/A", (F52-E52)/E52)</f>
        <v/>
      </c>
      <c r="H52" s="3" t="n">
        <v>1</v>
      </c>
      <c r="I52" s="3" t="n"/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Musculosas</t>
        </is>
      </c>
      <c r="B53" s="3" t="n"/>
      <c r="C53" s="3" t="n">
        <v>1</v>
      </c>
      <c r="D53" s="6">
        <f>IF(B53=0, "N/A", (C53-B53)/B53)</f>
        <v/>
      </c>
      <c r="E53" s="3" t="n"/>
      <c r="F53" s="3" t="n"/>
      <c r="G53" s="6">
        <f>IF(E53=0, "N/A", (F53-E53)/E53)</f>
        <v/>
      </c>
      <c r="H53" s="3" t="n"/>
      <c r="I53" s="3" t="n"/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Otro</t>
        </is>
      </c>
      <c r="B54" s="3" t="n"/>
      <c r="C54" s="3" t="n"/>
      <c r="D54" s="6">
        <f>IF(B54=0, "N/A", (C54-B54)/B54)</f>
        <v/>
      </c>
      <c r="E54" s="3" t="n"/>
      <c r="F54" s="3" t="n"/>
      <c r="G54" s="6">
        <f>IF(E54=0, "N/A", (F54-E54)/E54)</f>
        <v/>
      </c>
      <c r="H54" s="3" t="n"/>
      <c r="I54" s="3" t="n">
        <v>1</v>
      </c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2" t="inlineStr">
        <is>
          <t>Remeras</t>
        </is>
      </c>
      <c r="B55" s="3" t="n">
        <v>108</v>
      </c>
      <c r="C55" s="3" t="n">
        <v>46</v>
      </c>
      <c r="D55" s="6">
        <f>IF(B55=0, "N/A", (C55-B55)/B55)</f>
        <v/>
      </c>
      <c r="E55" s="3" t="n">
        <v>142</v>
      </c>
      <c r="F55" s="3" t="n">
        <v>124</v>
      </c>
      <c r="G55" s="6">
        <f>IF(E55=0, "N/A", (F55-E55)/E55)</f>
        <v/>
      </c>
      <c r="H55" s="3" t="n">
        <v>298</v>
      </c>
      <c r="I55" s="3" t="n">
        <v>127</v>
      </c>
      <c r="J55" s="6">
        <f>IF(H55=0, "N/A", (I55-H55)/H55)</f>
        <v/>
      </c>
      <c r="K55" s="3">
        <f>B55+E55+H55</f>
        <v/>
      </c>
      <c r="L55" s="3">
        <f>C55+F55+I55</f>
        <v/>
      </c>
      <c r="M55" s="6">
        <f>IF(K55=0, "N/A", (L55-K55)/K55)</f>
        <v/>
      </c>
    </row>
    <row r="56">
      <c r="A56" s="2" t="inlineStr">
        <is>
          <t>Sweaters</t>
        </is>
      </c>
      <c r="B56" s="3" t="n">
        <v>15</v>
      </c>
      <c r="C56" s="3" t="n">
        <v>33</v>
      </c>
      <c r="D56" s="6">
        <f>IF(B56=0, "N/A", (C56-B56)/B56)</f>
        <v/>
      </c>
      <c r="E56" s="3" t="n">
        <v>35</v>
      </c>
      <c r="F56" s="3" t="n">
        <v>34</v>
      </c>
      <c r="G56" s="6">
        <f>IF(E56=0, "N/A", (F56-E56)/E56)</f>
        <v/>
      </c>
      <c r="H56" s="3" t="n">
        <v>30</v>
      </c>
      <c r="I56" s="3" t="n">
        <v>81</v>
      </c>
      <c r="J56" s="6">
        <f>IF(H56=0, "N/A", (I56-H56)/H56)</f>
        <v/>
      </c>
      <c r="K56" s="3">
        <f>B56+E56+H56</f>
        <v/>
      </c>
      <c r="L56" s="3">
        <f>C56+F56+I56</f>
        <v/>
      </c>
      <c r="M56" s="6">
        <f>IF(K56=0, "N/A", (L56-K56)/K56)</f>
        <v/>
      </c>
    </row>
    <row r="57">
      <c r="A57" s="2" t="inlineStr">
        <is>
          <t>Trajes De Baño</t>
        </is>
      </c>
      <c r="B57" s="3" t="n"/>
      <c r="C57" s="3" t="n"/>
      <c r="D57" s="6">
        <f>IF(B57=0, "N/A", (C57-B57)/B57)</f>
        <v/>
      </c>
      <c r="E57" s="3" t="n"/>
      <c r="F57" s="3" t="n">
        <v>1</v>
      </c>
      <c r="G57" s="6">
        <f>IF(E57=0, "N/A", (F57-E57)/E57)</f>
        <v/>
      </c>
      <c r="H57" s="3" t="n"/>
      <c r="I57" s="3" t="n"/>
      <c r="J57" s="6">
        <f>IF(H57=0, "N/A", (I57-H57)/H57)</f>
        <v/>
      </c>
      <c r="K57" s="3">
        <f>B57+E57+H57</f>
        <v/>
      </c>
      <c r="L57" s="3">
        <f>C57+F57+I57</f>
        <v/>
      </c>
      <c r="M57" s="6">
        <f>IF(K57=0, "N/A", (L57-K57)/K57)</f>
        <v/>
      </c>
    </row>
    <row r="58">
      <c r="A58" s="5" t="inlineStr">
        <is>
          <t>Totals</t>
        </is>
      </c>
      <c r="B58" s="4">
        <f>SUM($B33:$B57)</f>
        <v/>
      </c>
      <c r="C58" s="4">
        <f>SUM($C33:$C57)</f>
        <v/>
      </c>
      <c r="D58" s="7">
        <f>IF(B58=0, "N/A", (C58-B58)/B58)</f>
        <v/>
      </c>
      <c r="E58" s="4">
        <f>SUM($E33:$E57)</f>
        <v/>
      </c>
      <c r="F58" s="4">
        <f>SUM($F33:$F57)</f>
        <v/>
      </c>
      <c r="G58" s="7">
        <f>IF(E58=0, "N/A", (F58-E58)/E58)</f>
        <v/>
      </c>
      <c r="H58" s="4">
        <f>SUM($H33:$H57)</f>
        <v/>
      </c>
      <c r="I58" s="4">
        <f>SUM($I33:$I57)</f>
        <v/>
      </c>
      <c r="J58" s="7">
        <f>IF(H58=0, "N/A", (I58-H58)/H58)</f>
        <v/>
      </c>
      <c r="K58" s="4">
        <f>SUM($K33:$K57)</f>
        <v/>
      </c>
      <c r="L58" s="4">
        <f>SUM($L33:$L57)</f>
        <v/>
      </c>
      <c r="M58" s="7">
        <f>IF(K58=0, "N/A", (L58-K58)/K58)</f>
        <v/>
      </c>
    </row>
    <row r="61">
      <c r="A61" s="1" t="inlineStr">
        <is>
          <t>YoY Units Sold Comparison - Branch Group 2</t>
        </is>
      </c>
    </row>
    <row r="62">
      <c r="B62" s="1" t="inlineStr">
        <is>
          <t>VIRREYES</t>
        </is>
      </c>
      <c r="C62" s="1" t="n"/>
      <c r="D62" s="1" t="n"/>
    </row>
    <row r="63">
      <c r="A63" s="1" t="inlineStr">
        <is>
          <t>Familias</t>
        </is>
      </c>
      <c r="B63" s="1" t="n">
        <v>2025</v>
      </c>
      <c r="C63" s="1" t="n">
        <v>2026</v>
      </c>
      <c r="D63" s="1" t="inlineStr">
        <is>
          <t>%</t>
        </is>
      </c>
    </row>
    <row r="64">
      <c r="A64" s="2" t="inlineStr">
        <is>
          <t>Accesorios</t>
        </is>
      </c>
      <c r="B64" s="3" t="n">
        <v>4</v>
      </c>
      <c r="C64" s="3" t="n">
        <v>1</v>
      </c>
      <c r="D64" s="6">
        <f>IF(B64=0, "N/A", (C64-B64)/B64)</f>
        <v/>
      </c>
    </row>
    <row r="65">
      <c r="A65" s="2" t="inlineStr">
        <is>
          <t>Boxer</t>
        </is>
      </c>
      <c r="B65" s="3" t="n">
        <v>3</v>
      </c>
      <c r="C65" s="3" t="n">
        <v>2</v>
      </c>
      <c r="D65" s="6">
        <f>IF(B65=0, "N/A", (C65-B65)/B65)</f>
        <v/>
      </c>
    </row>
    <row r="66">
      <c r="A66" s="2" t="inlineStr">
        <is>
          <t>Buzo Cuello Redondo</t>
        </is>
      </c>
      <c r="B66" s="3" t="n">
        <v>9</v>
      </c>
      <c r="C66" s="3" t="n">
        <v>5</v>
      </c>
      <c r="D66" s="6">
        <f>IF(B66=0, "N/A", (C66-B66)/B66)</f>
        <v/>
      </c>
    </row>
    <row r="67">
      <c r="A67" s="2" t="inlineStr">
        <is>
          <t>Buzos C Capucha</t>
        </is>
      </c>
      <c r="B67" s="3" t="n">
        <v>36</v>
      </c>
      <c r="C67" s="3" t="n">
        <v>13</v>
      </c>
      <c r="D67" s="6">
        <f>IF(B67=0, "N/A", (C67-B67)/B67)</f>
        <v/>
      </c>
    </row>
    <row r="68">
      <c r="A68" s="2" t="inlineStr">
        <is>
          <t>Buzos C Capucha Orangutan</t>
        </is>
      </c>
      <c r="B68" s="3" t="n"/>
      <c r="C68" s="3" t="n">
        <v>4</v>
      </c>
      <c r="D68" s="6">
        <f>IF(B68=0, "N/A", (C68-B68)/B68)</f>
        <v/>
      </c>
    </row>
    <row r="69">
      <c r="A69" s="2" t="inlineStr">
        <is>
          <t>Buzos C Redondo Orangutan</t>
        </is>
      </c>
      <c r="B69" s="3" t="n"/>
      <c r="C69" s="3" t="n">
        <v>1</v>
      </c>
      <c r="D69" s="6">
        <f>IF(B69=0, "N/A", (C69-B69)/B69)</f>
        <v/>
      </c>
    </row>
    <row r="70">
      <c r="A70" s="2" t="inlineStr">
        <is>
          <t>Calzado</t>
        </is>
      </c>
      <c r="B70" s="3" t="n">
        <v>1</v>
      </c>
      <c r="C70" s="3" t="n"/>
      <c r="D70" s="6">
        <f>IF(B70=0, "N/A", (C70-B70)/B70)</f>
        <v/>
      </c>
    </row>
    <row r="71">
      <c r="A71" s="2" t="inlineStr">
        <is>
          <t>Camisetas Manga Larga</t>
        </is>
      </c>
      <c r="B71" s="3" t="n">
        <v>2</v>
      </c>
      <c r="C71" s="3" t="n"/>
      <c r="D71" s="6">
        <f>IF(B71=0, "N/A", (C71-B71)/B71)</f>
        <v/>
      </c>
    </row>
    <row r="72">
      <c r="A72" s="2" t="inlineStr">
        <is>
          <t>Camisetas Manga Larga Orangutan</t>
        </is>
      </c>
      <c r="B72" s="3" t="n"/>
      <c r="C72" s="3" t="n">
        <v>4</v>
      </c>
      <c r="D72" s="6">
        <f>IF(B72=0, "N/A", (C72-B72)/B72)</f>
        <v/>
      </c>
    </row>
    <row r="73">
      <c r="A73" s="2" t="inlineStr">
        <is>
          <t>Camperas Capucha</t>
        </is>
      </c>
      <c r="B73" s="3" t="n">
        <v>9</v>
      </c>
      <c r="C73" s="3" t="n">
        <v>1</v>
      </c>
      <c r="D73" s="6">
        <f>IF(B73=0, "N/A", (C73-B73)/B73)</f>
        <v/>
      </c>
    </row>
    <row r="74">
      <c r="A74" s="2" t="inlineStr">
        <is>
          <t>Camperas De Abrigo</t>
        </is>
      </c>
      <c r="B74" s="3" t="n">
        <v>7</v>
      </c>
      <c r="C74" s="3" t="n">
        <v>2</v>
      </c>
      <c r="D74" s="6">
        <f>IF(B74=0, "N/A", (C74-B74)/B74)</f>
        <v/>
      </c>
    </row>
    <row r="75">
      <c r="A75" s="2" t="inlineStr">
        <is>
          <t>Chombas Manga Larga</t>
        </is>
      </c>
      <c r="B75" s="3" t="n"/>
      <c r="C75" s="3" t="n">
        <v>1</v>
      </c>
      <c r="D75" s="6">
        <f>IF(B75=0, "N/A", (C75-B75)/B75)</f>
        <v/>
      </c>
    </row>
    <row r="76">
      <c r="A76" s="2" t="inlineStr">
        <is>
          <t>Jeans</t>
        </is>
      </c>
      <c r="B76" s="3" t="n">
        <v>13</v>
      </c>
      <c r="C76" s="3" t="n">
        <v>8</v>
      </c>
      <c r="D76" s="6">
        <f>IF(B76=0, "N/A", (C76-B76)/B76)</f>
        <v/>
      </c>
    </row>
    <row r="77">
      <c r="A77" s="2" t="inlineStr">
        <is>
          <t>Jogging</t>
        </is>
      </c>
      <c r="B77" s="3" t="n">
        <v>5</v>
      </c>
      <c r="C77" s="3" t="n">
        <v>3</v>
      </c>
      <c r="D77" s="6">
        <f>IF(B77=0, "N/A", (C77-B77)/B77)</f>
        <v/>
      </c>
    </row>
    <row r="78">
      <c r="A78" s="2" t="inlineStr">
        <is>
          <t>Otro</t>
        </is>
      </c>
      <c r="B78" s="3" t="n">
        <v>1</v>
      </c>
      <c r="C78" s="3" t="n"/>
      <c r="D78" s="6">
        <f>IF(B78=0, "N/A", (C78-B78)/B78)</f>
        <v/>
      </c>
    </row>
    <row r="79">
      <c r="A79" s="2" t="inlineStr">
        <is>
          <t>Remeras</t>
        </is>
      </c>
      <c r="B79" s="3" t="n">
        <v>41</v>
      </c>
      <c r="C79" s="3" t="n">
        <v>5</v>
      </c>
      <c r="D79" s="6">
        <f>IF(B79=0, "N/A", (C79-B79)/B79)</f>
        <v/>
      </c>
    </row>
    <row r="80">
      <c r="A80" s="2" t="inlineStr">
        <is>
          <t>Sweaters</t>
        </is>
      </c>
      <c r="B80" s="3" t="n">
        <v>2</v>
      </c>
      <c r="C80" s="3" t="n"/>
      <c r="D80" s="6">
        <f>IF(B80=0, "N/A", (C80-B80)/B80)</f>
        <v/>
      </c>
    </row>
    <row r="81">
      <c r="A81" s="5" t="inlineStr">
        <is>
          <t>Totals</t>
        </is>
      </c>
      <c r="B81" s="4">
        <f>SUM($B64:$B80)</f>
        <v/>
      </c>
      <c r="C81" s="4">
        <f>SUM($C64:$C80)</f>
        <v/>
      </c>
      <c r="D81" s="7">
        <f>IF(B81=0, "N/A", (C81-B81)/B81)</f>
        <v/>
      </c>
    </row>
    <row r="84">
      <c r="A84" s="1" t="inlineStr">
        <is>
          <t>Sales Amount from May 02, 2026 to May 31, 2026</t>
        </is>
      </c>
    </row>
    <row r="85">
      <c r="A85" s="1" t="inlineStr">
        <is>
          <t>Familias</t>
        </is>
      </c>
      <c r="B85" s="1" t="inlineStr">
        <is>
          <t>LIBERT.R</t>
        </is>
      </c>
      <c r="C85" s="1" t="inlineStr">
        <is>
          <t>PASO.R</t>
        </is>
      </c>
      <c r="D85" s="1" t="inlineStr">
        <is>
          <t>P.OESTE</t>
        </is>
      </c>
      <c r="E85" s="1" t="inlineStr">
        <is>
          <t>VIRREYES</t>
        </is>
      </c>
      <c r="F85" s="1" t="inlineStr">
        <is>
          <t>Totals</t>
        </is>
      </c>
    </row>
    <row r="86">
      <c r="A86" s="2" t="inlineStr">
        <is>
          <t>Accesorios</t>
        </is>
      </c>
      <c r="B86" s="8" t="n">
        <v>406094.0453</v>
      </c>
      <c r="C86" s="8" t="n">
        <v>812251.0548</v>
      </c>
      <c r="D86" s="8" t="n">
        <v>1249900.9149</v>
      </c>
      <c r="E86" s="8" t="n">
        <v>32900</v>
      </c>
      <c r="F86" s="9">
        <f>B86+C86+D86+E86</f>
        <v/>
      </c>
    </row>
    <row r="87">
      <c r="A87" s="2" t="inlineStr">
        <is>
          <t>Bermudas</t>
        </is>
      </c>
      <c r="B87" s="8" t="n"/>
      <c r="C87" s="8" t="n">
        <v>40701.4512</v>
      </c>
      <c r="D87" s="8" t="n">
        <v>-26900</v>
      </c>
      <c r="E87" s="8" t="n"/>
      <c r="F87" s="9">
        <f>B87+C87+D87+E87</f>
        <v/>
      </c>
    </row>
    <row r="88">
      <c r="A88" s="2" t="inlineStr">
        <is>
          <t>Boxer</t>
        </is>
      </c>
      <c r="B88" s="8" t="n">
        <v>144200</v>
      </c>
      <c r="C88" s="8" t="n">
        <v>470965.3461</v>
      </c>
      <c r="D88" s="8" t="n">
        <v>1518803.0447</v>
      </c>
      <c r="E88" s="8" t="n">
        <v>29000</v>
      </c>
      <c r="F88" s="9">
        <f>B88+C88+D88+E88</f>
        <v/>
      </c>
    </row>
    <row r="89">
      <c r="A89" s="2" t="inlineStr">
        <is>
          <t>Buzo C Capucha Rustico</t>
        </is>
      </c>
      <c r="B89" s="8" t="n"/>
      <c r="C89" s="8" t="n"/>
      <c r="D89" s="8" t="n">
        <v>54900</v>
      </c>
      <c r="E89" s="8" t="n"/>
      <c r="F89" s="9">
        <f>B89+C89+D89+E89</f>
        <v/>
      </c>
    </row>
    <row r="90">
      <c r="A90" s="2" t="inlineStr">
        <is>
          <t>Buzo Cuello Redondo</t>
        </is>
      </c>
      <c r="B90" s="8" t="n">
        <v>2238385.1809</v>
      </c>
      <c r="C90" s="8" t="n">
        <v>3411782.1774</v>
      </c>
      <c r="D90" s="8" t="n">
        <v>9110367.279200001</v>
      </c>
      <c r="E90" s="8" t="n">
        <v>190000</v>
      </c>
      <c r="F90" s="9">
        <f>B90+C90+D90+E90</f>
        <v/>
      </c>
    </row>
    <row r="91">
      <c r="A91" s="2" t="inlineStr">
        <is>
          <t>Buzos C Capucha</t>
        </is>
      </c>
      <c r="B91" s="8" t="n">
        <v>2966489.3961</v>
      </c>
      <c r="C91" s="8" t="n">
        <v>4254860.1513</v>
      </c>
      <c r="D91" s="8" t="n">
        <v>6275102.3787</v>
      </c>
      <c r="E91" s="8" t="n">
        <v>583410.0013</v>
      </c>
      <c r="F91" s="9">
        <f>B91+C91+D91+E91</f>
        <v/>
      </c>
    </row>
    <row r="92">
      <c r="A92" s="2" t="inlineStr">
        <is>
          <t>Buzos C Capucha Orangutan</t>
        </is>
      </c>
      <c r="B92" s="8" t="n">
        <v>721876.7596</v>
      </c>
      <c r="C92" s="8" t="n">
        <v>935631.8172</v>
      </c>
      <c r="D92" s="8" t="n">
        <v>2898833.9421</v>
      </c>
      <c r="E92" s="8" t="n">
        <v>199600</v>
      </c>
      <c r="F92" s="9">
        <f>B92+C92+D92+E92</f>
        <v/>
      </c>
    </row>
    <row r="93">
      <c r="A93" s="2" t="inlineStr">
        <is>
          <t>Buzos C Redondo Orangutan</t>
        </is>
      </c>
      <c r="B93" s="8" t="n">
        <v>875710</v>
      </c>
      <c r="C93" s="8" t="n">
        <v>2263601.2994</v>
      </c>
      <c r="D93" s="8" t="n">
        <v>3380281.6648</v>
      </c>
      <c r="E93" s="8" t="n">
        <v>38900</v>
      </c>
      <c r="F93" s="9">
        <f>B93+C93+D93+E93</f>
        <v/>
      </c>
    </row>
    <row r="94">
      <c r="A94" s="2" t="inlineStr">
        <is>
          <t>Buzos Medio Cierre</t>
        </is>
      </c>
      <c r="B94" s="8" t="n">
        <v>1014550</v>
      </c>
      <c r="C94" s="8" t="n">
        <v>697964.0675</v>
      </c>
      <c r="D94" s="8" t="n">
        <v>3073400</v>
      </c>
      <c r="E94" s="8" t="n"/>
      <c r="F94" s="9">
        <f>B94+C94+D94+E94</f>
        <v/>
      </c>
    </row>
    <row r="95">
      <c r="A95" s="2" t="inlineStr">
        <is>
          <t>Camisas</t>
        </is>
      </c>
      <c r="B95" s="8" t="n">
        <v>132800</v>
      </c>
      <c r="C95" s="8" t="n"/>
      <c r="D95" s="8" t="n">
        <v>5265</v>
      </c>
      <c r="E95" s="8" t="n"/>
      <c r="F95" s="9">
        <f>B95+C95+D95+E95</f>
        <v/>
      </c>
    </row>
    <row r="96">
      <c r="A96" s="2" t="inlineStr">
        <is>
          <t>Camisetas Manga Larga</t>
        </is>
      </c>
      <c r="B96" s="8" t="n">
        <v>1713710.9682</v>
      </c>
      <c r="C96" s="8" t="n">
        <v>2630803.6438</v>
      </c>
      <c r="D96" s="8" t="n">
        <v>3773145.2709</v>
      </c>
      <c r="E96" s="8" t="n"/>
      <c r="F96" s="9">
        <f>B96+C96+D96+E96</f>
        <v/>
      </c>
    </row>
    <row r="97">
      <c r="A97" s="2" t="inlineStr">
        <is>
          <t>Camisetas Manga Larga Orangutan</t>
        </is>
      </c>
      <c r="B97" s="8" t="n">
        <v>153999.999</v>
      </c>
      <c r="C97" s="8" t="n">
        <v>404012.2172</v>
      </c>
      <c r="D97" s="8" t="n">
        <v>857700</v>
      </c>
      <c r="E97" s="8" t="n">
        <v>77800</v>
      </c>
      <c r="F97" s="9">
        <f>B97+C97+D97+E97</f>
        <v/>
      </c>
    </row>
    <row r="98">
      <c r="A98" s="2" t="inlineStr">
        <is>
          <t>Campera S Capucha</t>
        </is>
      </c>
      <c r="B98" s="8" t="n">
        <v>106400</v>
      </c>
      <c r="C98" s="8" t="n">
        <v>93000</v>
      </c>
      <c r="D98" s="8" t="n">
        <v>3298665.7297</v>
      </c>
      <c r="E98" s="8" t="n"/>
      <c r="F98" s="9">
        <f>B98+C98+D98+E98</f>
        <v/>
      </c>
    </row>
    <row r="99">
      <c r="A99" s="2" t="inlineStr">
        <is>
          <t>Camperas Capucha</t>
        </is>
      </c>
      <c r="B99" s="8" t="n">
        <v>1417820.7091</v>
      </c>
      <c r="C99" s="8" t="n">
        <v>1312689.9365</v>
      </c>
      <c r="D99" s="8" t="n">
        <v>8424535.1447</v>
      </c>
      <c r="E99" s="8" t="n">
        <v>49900</v>
      </c>
      <c r="F99" s="9">
        <f>B99+C99+D99+E99</f>
        <v/>
      </c>
    </row>
    <row r="100">
      <c r="A100" s="2" t="inlineStr">
        <is>
          <t>Camperas De Abrigo</t>
        </is>
      </c>
      <c r="B100" s="8" t="n">
        <v>2818989.9989</v>
      </c>
      <c r="C100" s="8" t="n">
        <v>2114415.633</v>
      </c>
      <c r="D100" s="8" t="n">
        <v>5296890</v>
      </c>
      <c r="E100" s="8" t="n">
        <v>116019.9979</v>
      </c>
      <c r="F100" s="9">
        <f>B100+C100+D100+E100</f>
        <v/>
      </c>
    </row>
    <row r="101">
      <c r="A101" s="2" t="inlineStr">
        <is>
          <t>Chombas</t>
        </is>
      </c>
      <c r="B101" s="8" t="n">
        <v>-25900</v>
      </c>
      <c r="C101" s="8" t="n">
        <v>111221.4294</v>
      </c>
      <c r="D101" s="8" t="n">
        <v>38000</v>
      </c>
      <c r="E101" s="8" t="n"/>
      <c r="F101" s="9">
        <f>B101+C101+D101+E101</f>
        <v/>
      </c>
    </row>
    <row r="102">
      <c r="A102" s="2" t="inlineStr">
        <is>
          <t>Chombas Manga Larga</t>
        </is>
      </c>
      <c r="B102" s="8" t="n">
        <v>565661.5831</v>
      </c>
      <c r="C102" s="8" t="n">
        <v>425491.7746</v>
      </c>
      <c r="D102" s="8" t="n">
        <v>-30400</v>
      </c>
      <c r="E102" s="8" t="n">
        <v>30000</v>
      </c>
      <c r="F102" s="9">
        <f>B102+C102+D102+E102</f>
        <v/>
      </c>
    </row>
    <row r="103">
      <c r="A103" s="2" t="inlineStr">
        <is>
          <t>Jeans</t>
        </is>
      </c>
      <c r="B103" s="8" t="n">
        <v>3251519.849</v>
      </c>
      <c r="C103" s="8" t="n">
        <v>3102138.4239</v>
      </c>
      <c r="D103" s="8" t="n">
        <v>21968294.7175</v>
      </c>
      <c r="E103" s="8" t="n">
        <v>285290</v>
      </c>
      <c r="F103" s="9">
        <f>B103+C103+D103+E103</f>
        <v/>
      </c>
    </row>
    <row r="104">
      <c r="A104" s="2" t="inlineStr">
        <is>
          <t>Jogging</t>
        </is>
      </c>
      <c r="B104" s="8" t="n">
        <v>901900.0011</v>
      </c>
      <c r="C104" s="8" t="n">
        <v>1343378.2629</v>
      </c>
      <c r="D104" s="8" t="n">
        <v>5058965.8081</v>
      </c>
      <c r="E104" s="8" t="n">
        <v>85550</v>
      </c>
      <c r="F104" s="9">
        <f>B104+C104+D104+E104</f>
        <v/>
      </c>
    </row>
    <row r="105">
      <c r="A105" s="2" t="inlineStr">
        <is>
          <t>Musculosas</t>
        </is>
      </c>
      <c r="B105" s="8" t="n">
        <v>11940</v>
      </c>
      <c r="C105" s="8" t="n"/>
      <c r="D105" s="8" t="n"/>
      <c r="E105" s="8" t="n"/>
      <c r="F105" s="9">
        <f>B105+C105+D105+E105</f>
        <v/>
      </c>
    </row>
    <row r="106">
      <c r="A106" s="2" t="inlineStr">
        <is>
          <t>Otro</t>
        </is>
      </c>
      <c r="B106" s="8" t="n"/>
      <c r="C106" s="8" t="n"/>
      <c r="D106" s="8" t="n">
        <v>55900</v>
      </c>
      <c r="E106" s="8" t="n"/>
      <c r="F106" s="9">
        <f>B106+C106+D106+E106</f>
        <v/>
      </c>
    </row>
    <row r="107">
      <c r="A107" s="2" t="inlineStr">
        <is>
          <t>Remeras</t>
        </is>
      </c>
      <c r="B107" s="8" t="n">
        <v>1099466.512</v>
      </c>
      <c r="C107" s="8" t="n">
        <v>3082471.2394</v>
      </c>
      <c r="D107" s="8" t="n">
        <v>3548404.1147</v>
      </c>
      <c r="E107" s="8" t="n">
        <v>61830.0008</v>
      </c>
      <c r="F107" s="9">
        <f>B107+C107+D107+E107</f>
        <v/>
      </c>
    </row>
    <row r="108">
      <c r="A108" s="2" t="inlineStr">
        <is>
          <t>Sweaters</t>
        </is>
      </c>
      <c r="B108" s="8" t="n">
        <v>1512809.9977</v>
      </c>
      <c r="C108" s="8" t="n">
        <v>1557764.76</v>
      </c>
      <c r="D108" s="8" t="n">
        <v>3820020</v>
      </c>
      <c r="E108" s="8" t="n"/>
      <c r="F108" s="9">
        <f>B108+C108+D108+E108</f>
        <v/>
      </c>
    </row>
    <row r="109">
      <c r="A109" s="2" t="inlineStr">
        <is>
          <t>Trajes De Baño</t>
        </is>
      </c>
      <c r="B109" s="8" t="n"/>
      <c r="C109" s="8" t="n">
        <v>19036.3144</v>
      </c>
      <c r="D109" s="8" t="n"/>
      <c r="E109" s="8" t="n"/>
      <c r="F109" s="9">
        <f>B109+C109+D109+E109</f>
        <v/>
      </c>
    </row>
    <row r="110">
      <c r="A110" s="5" t="inlineStr">
        <is>
          <t>Totals</t>
        </is>
      </c>
      <c r="B110" s="9">
        <f>SUM($B$86:$B$109)</f>
        <v/>
      </c>
      <c r="C110" s="9">
        <f>SUM($C$86:$C$109)</f>
        <v/>
      </c>
      <c r="D110" s="9">
        <f>SUM($D$86:$D$109)</f>
        <v/>
      </c>
      <c r="E110" s="9">
        <f>SUM($E$86:$E$109)</f>
        <v/>
      </c>
      <c r="F110" s="9">
        <f>SUM($F$86:$F$109)</f>
        <v/>
      </c>
    </row>
    <row r="113">
      <c r="A113" s="1" t="inlineStr">
        <is>
          <t>YoY Sales Amount Comparison - Branch Group 1</t>
        </is>
      </c>
    </row>
    <row r="114">
      <c r="B114" s="1" t="inlineStr">
        <is>
          <t>LIBERT.R</t>
        </is>
      </c>
      <c r="C114" s="1" t="n"/>
      <c r="D114" s="1" t="n"/>
      <c r="E114" s="1" t="inlineStr">
        <is>
          <t>PASO.R</t>
        </is>
      </c>
      <c r="F114" s="1" t="n"/>
      <c r="G114" s="1" t="n"/>
      <c r="H114" s="1" t="inlineStr">
        <is>
          <t>P.OESTE</t>
        </is>
      </c>
      <c r="I114" s="1" t="n"/>
      <c r="J114" s="1" t="n"/>
      <c r="K114" s="1" t="inlineStr">
        <is>
          <t>Global</t>
        </is>
      </c>
      <c r="L114" s="1" t="n"/>
      <c r="M114" s="1" t="n"/>
    </row>
    <row r="115">
      <c r="A115" s="1" t="inlineStr">
        <is>
          <t>Familias</t>
        </is>
      </c>
      <c r="B115" s="1" t="n">
        <v>2025</v>
      </c>
      <c r="C115" s="1" t="n">
        <v>2026</v>
      </c>
      <c r="D115" s="1" t="inlineStr">
        <is>
          <t>%</t>
        </is>
      </c>
      <c r="E115" s="1" t="n">
        <v>2025</v>
      </c>
      <c r="F115" s="1" t="n">
        <v>2026</v>
      </c>
      <c r="G115" s="1" t="inlineStr">
        <is>
          <t>%</t>
        </is>
      </c>
      <c r="H115" s="1" t="n">
        <v>2025</v>
      </c>
      <c r="I115" s="1" t="n">
        <v>2026</v>
      </c>
      <c r="J115" s="1" t="inlineStr">
        <is>
          <t>%</t>
        </is>
      </c>
      <c r="K115" s="1" t="n">
        <v>2025</v>
      </c>
      <c r="L115" s="1" t="n">
        <v>2026</v>
      </c>
      <c r="M115" s="1" t="inlineStr">
        <is>
          <t>%</t>
        </is>
      </c>
    </row>
    <row r="116">
      <c r="A116" s="2" t="inlineStr">
        <is>
          <t>Accesorios</t>
        </is>
      </c>
      <c r="B116" s="8" t="n">
        <v>839177.8284</v>
      </c>
      <c r="C116" s="8" t="n">
        <v>406094.0453</v>
      </c>
      <c r="D116" s="6">
        <f>IF(B116=0, "N/A", (C116-B116)/B116)</f>
        <v/>
      </c>
      <c r="E116" s="8" t="n">
        <v>716536.6433</v>
      </c>
      <c r="F116" s="8" t="n">
        <v>812251.0548</v>
      </c>
      <c r="G116" s="6">
        <f>IF(E116=0, "N/A", (F116-E116)/E116)</f>
        <v/>
      </c>
      <c r="H116" s="8" t="n">
        <v>1429936.4175</v>
      </c>
      <c r="I116" s="8" t="n">
        <v>1249900.9149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Bermudas</t>
        </is>
      </c>
      <c r="B117" s="8" t="n"/>
      <c r="C117" s="8" t="n"/>
      <c r="D117" s="6">
        <f>IF(B117=0, "N/A", (C117-B117)/B117)</f>
        <v/>
      </c>
      <c r="E117" s="8" t="n">
        <v>64500</v>
      </c>
      <c r="F117" s="8" t="n">
        <v>40701.4512</v>
      </c>
      <c r="G117" s="6">
        <f>IF(E117=0, "N/A", (F117-E117)/E117)</f>
        <v/>
      </c>
      <c r="H117" s="8" t="n">
        <v>69980</v>
      </c>
      <c r="I117" s="8" t="n">
        <v>-26900</v>
      </c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Boxer</t>
        </is>
      </c>
      <c r="B118" s="8" t="n">
        <v>336612.1426</v>
      </c>
      <c r="C118" s="8" t="n">
        <v>144200</v>
      </c>
      <c r="D118" s="6">
        <f>IF(B118=0, "N/A", (C118-B118)/B118)</f>
        <v/>
      </c>
      <c r="E118" s="8" t="n">
        <v>378000</v>
      </c>
      <c r="F118" s="8" t="n">
        <v>470965.3461</v>
      </c>
      <c r="G118" s="6">
        <f>IF(E118=0, "N/A", (F118-E118)/E118)</f>
        <v/>
      </c>
      <c r="H118" s="8" t="n">
        <v>744500</v>
      </c>
      <c r="I118" s="8" t="n">
        <v>1518803.0447</v>
      </c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Buzo C Capucha Rustico</t>
        </is>
      </c>
      <c r="B119" s="8" t="n"/>
      <c r="C119" s="8" t="n"/>
      <c r="D119" s="6">
        <f>IF(B119=0, "N/A", (C119-B119)/B119)</f>
        <v/>
      </c>
      <c r="E119" s="8" t="n"/>
      <c r="F119" s="8" t="n"/>
      <c r="G119" s="6">
        <f>IF(E119=0, "N/A", (F119-E119)/E119)</f>
        <v/>
      </c>
      <c r="H119" s="8" t="n"/>
      <c r="I119" s="8" t="n">
        <v>54900</v>
      </c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Buzo Cuello Redondo</t>
        </is>
      </c>
      <c r="B120" s="8" t="n">
        <v>1371129.1619</v>
      </c>
      <c r="C120" s="8" t="n">
        <v>2238385.1809</v>
      </c>
      <c r="D120" s="6">
        <f>IF(B120=0, "N/A", (C120-B120)/B120)</f>
        <v/>
      </c>
      <c r="E120" s="8" t="n">
        <v>3595453.0949</v>
      </c>
      <c r="F120" s="8" t="n">
        <v>3411782.1774</v>
      </c>
      <c r="G120" s="6">
        <f>IF(E120=0, "N/A", (F120-E120)/E120)</f>
        <v/>
      </c>
      <c r="H120" s="8" t="n">
        <v>7116603.2925</v>
      </c>
      <c r="I120" s="8" t="n">
        <v>9110367.279200001</v>
      </c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Buzos C Capucha</t>
        </is>
      </c>
      <c r="B121" s="8" t="n">
        <v>4575414.3864</v>
      </c>
      <c r="C121" s="8" t="n">
        <v>2966489.3961</v>
      </c>
      <c r="D121" s="6">
        <f>IF(B121=0, "N/A", (C121-B121)/B121)</f>
        <v/>
      </c>
      <c r="E121" s="8" t="n">
        <v>3247555.6652</v>
      </c>
      <c r="F121" s="8" t="n">
        <v>4254860.1513</v>
      </c>
      <c r="G121" s="6">
        <f>IF(E121=0, "N/A", (F121-E121)/E121)</f>
        <v/>
      </c>
      <c r="H121" s="8" t="n">
        <v>10345004.8104</v>
      </c>
      <c r="I121" s="8" t="n">
        <v>6275102.3787</v>
      </c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Buzos C Capucha Orangutan</t>
        </is>
      </c>
      <c r="B122" s="8" t="n"/>
      <c r="C122" s="8" t="n">
        <v>721876.7596</v>
      </c>
      <c r="D122" s="6">
        <f>IF(B122=0, "N/A", (C122-B122)/B122)</f>
        <v/>
      </c>
      <c r="E122" s="8" t="n"/>
      <c r="F122" s="8" t="n">
        <v>935631.8172</v>
      </c>
      <c r="G122" s="6">
        <f>IF(E122=0, "N/A", (F122-E122)/E122)</f>
        <v/>
      </c>
      <c r="H122" s="8" t="n"/>
      <c r="I122" s="8" t="n">
        <v>2898833.9421</v>
      </c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Buzos C Redondo Orangutan</t>
        </is>
      </c>
      <c r="B123" s="8" t="n"/>
      <c r="C123" s="8" t="n">
        <v>875710</v>
      </c>
      <c r="D123" s="6">
        <f>IF(B123=0, "N/A", (C123-B123)/B123)</f>
        <v/>
      </c>
      <c r="E123" s="8" t="n"/>
      <c r="F123" s="8" t="n">
        <v>2263601.2994</v>
      </c>
      <c r="G123" s="6">
        <f>IF(E123=0, "N/A", (F123-E123)/E123)</f>
        <v/>
      </c>
      <c r="H123" s="8" t="n"/>
      <c r="I123" s="8" t="n">
        <v>3380281.6648</v>
      </c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Buzos Medio Cierre</t>
        </is>
      </c>
      <c r="B124" s="8" t="n">
        <v>205310.3016</v>
      </c>
      <c r="C124" s="8" t="n">
        <v>1014550</v>
      </c>
      <c r="D124" s="6">
        <f>IF(B124=0, "N/A", (C124-B124)/B124)</f>
        <v/>
      </c>
      <c r="E124" s="8" t="n">
        <v>166500</v>
      </c>
      <c r="F124" s="8" t="n">
        <v>697964.0675</v>
      </c>
      <c r="G124" s="6">
        <f>IF(E124=0, "N/A", (F124-E124)/E124)</f>
        <v/>
      </c>
      <c r="H124" s="8" t="n">
        <v>1819350</v>
      </c>
      <c r="I124" s="8" t="n">
        <v>3073400</v>
      </c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Camisas</t>
        </is>
      </c>
      <c r="B125" s="8" t="n">
        <v>424650</v>
      </c>
      <c r="C125" s="8" t="n">
        <v>132800</v>
      </c>
      <c r="D125" s="6">
        <f>IF(B125=0, "N/A", (C125-B125)/B125)</f>
        <v/>
      </c>
      <c r="E125" s="8" t="n">
        <v>61750</v>
      </c>
      <c r="F125" s="8" t="n"/>
      <c r="G125" s="6">
        <f>IF(E125=0, "N/A", (F125-E125)/E125)</f>
        <v/>
      </c>
      <c r="H125" s="8" t="n">
        <v>421150</v>
      </c>
      <c r="I125" s="8" t="n">
        <v>5265</v>
      </c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Camisetas Manga Larga</t>
        </is>
      </c>
      <c r="B126" s="8" t="n">
        <v>1410079.7322</v>
      </c>
      <c r="C126" s="8" t="n">
        <v>1713710.9682</v>
      </c>
      <c r="D126" s="6">
        <f>IF(B126=0, "N/A", (C126-B126)/B126)</f>
        <v/>
      </c>
      <c r="E126" s="8" t="n">
        <v>2599395.8535</v>
      </c>
      <c r="F126" s="8" t="n">
        <v>2630803.6438</v>
      </c>
      <c r="G126" s="6">
        <f>IF(E126=0, "N/A", (F126-E126)/E126)</f>
        <v/>
      </c>
      <c r="H126" s="8" t="n">
        <v>1186540</v>
      </c>
      <c r="I126" s="8" t="n">
        <v>3773145.2709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Camisetas Manga Larga Orangutan</t>
        </is>
      </c>
      <c r="B127" s="8" t="n"/>
      <c r="C127" s="8" t="n">
        <v>153999.999</v>
      </c>
      <c r="D127" s="6">
        <f>IF(B127=0, "N/A", (C127-B127)/B127)</f>
        <v/>
      </c>
      <c r="E127" s="8" t="n"/>
      <c r="F127" s="8" t="n">
        <v>404012.2172</v>
      </c>
      <c r="G127" s="6">
        <f>IF(E127=0, "N/A", (F127-E127)/E127)</f>
        <v/>
      </c>
      <c r="H127" s="8" t="n"/>
      <c r="I127" s="8" t="n">
        <v>857700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Campera S Capucha</t>
        </is>
      </c>
      <c r="B128" s="8" t="n">
        <v>757200</v>
      </c>
      <c r="C128" s="8" t="n">
        <v>106400</v>
      </c>
      <c r="D128" s="6">
        <f>IF(B128=0, "N/A", (C128-B128)/B128)</f>
        <v/>
      </c>
      <c r="E128" s="8" t="n">
        <v>1243995.106</v>
      </c>
      <c r="F128" s="8" t="n">
        <v>93000</v>
      </c>
      <c r="G128" s="6">
        <f>IF(E128=0, "N/A", (F128-E128)/E128)</f>
        <v/>
      </c>
      <c r="H128" s="8" t="n">
        <v>2862327.0712</v>
      </c>
      <c r="I128" s="8" t="n">
        <v>3298665.7297</v>
      </c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2" t="inlineStr">
        <is>
          <t>Camperas Capucha</t>
        </is>
      </c>
      <c r="B129" s="8" t="n">
        <v>520051.6734</v>
      </c>
      <c r="C129" s="8" t="n">
        <v>1417820.7091</v>
      </c>
      <c r="D129" s="6">
        <f>IF(B129=0, "N/A", (C129-B129)/B129)</f>
        <v/>
      </c>
      <c r="E129" s="8" t="n">
        <v>982274.7982</v>
      </c>
      <c r="F129" s="8" t="n">
        <v>1312689.9365</v>
      </c>
      <c r="G129" s="6">
        <f>IF(E129=0, "N/A", (F129-E129)/E129)</f>
        <v/>
      </c>
      <c r="H129" s="8" t="n">
        <v>8356748.7851</v>
      </c>
      <c r="I129" s="8" t="n">
        <v>8424535.1447</v>
      </c>
      <c r="J129" s="6">
        <f>IF(H129=0, "N/A", (I129-H129)/H129)</f>
        <v/>
      </c>
      <c r="K129" s="8">
        <f>B129+E129+H129</f>
        <v/>
      </c>
      <c r="L129" s="8">
        <f>C129+F129+I129</f>
        <v/>
      </c>
      <c r="M129" s="6">
        <f>IF(K129=0, "N/A", (L129-K129)/K129)</f>
        <v/>
      </c>
    </row>
    <row r="130">
      <c r="A130" s="2" t="inlineStr">
        <is>
          <t>Camperas De Abrigo</t>
        </is>
      </c>
      <c r="B130" s="8" t="n">
        <v>2708293.9829</v>
      </c>
      <c r="C130" s="8" t="n">
        <v>2818989.9989</v>
      </c>
      <c r="D130" s="6">
        <f>IF(B130=0, "N/A", (C130-B130)/B130)</f>
        <v/>
      </c>
      <c r="E130" s="8" t="n">
        <v>3356100</v>
      </c>
      <c r="F130" s="8" t="n">
        <v>2114415.633</v>
      </c>
      <c r="G130" s="6">
        <f>IF(E130=0, "N/A", (F130-E130)/E130)</f>
        <v/>
      </c>
      <c r="H130" s="8" t="n">
        <v>4032500</v>
      </c>
      <c r="I130" s="8" t="n">
        <v>5296890</v>
      </c>
      <c r="J130" s="6">
        <f>IF(H130=0, "N/A", (I130-H130)/H130)</f>
        <v/>
      </c>
      <c r="K130" s="8">
        <f>B130+E130+H130</f>
        <v/>
      </c>
      <c r="L130" s="8">
        <f>C130+F130+I130</f>
        <v/>
      </c>
      <c r="M130" s="6">
        <f>IF(K130=0, "N/A", (L130-K130)/K130)</f>
        <v/>
      </c>
    </row>
    <row r="131">
      <c r="A131" s="2" t="inlineStr">
        <is>
          <t>Chombas</t>
        </is>
      </c>
      <c r="B131" s="8" t="n">
        <v>-35000</v>
      </c>
      <c r="C131" s="8" t="n">
        <v>-25900</v>
      </c>
      <c r="D131" s="6">
        <f>IF(B131=0, "N/A", (C131-B131)/B131)</f>
        <v/>
      </c>
      <c r="E131" s="8" t="n">
        <v>126700</v>
      </c>
      <c r="F131" s="8" t="n">
        <v>111221.4294</v>
      </c>
      <c r="G131" s="6">
        <f>IF(E131=0, "N/A", (F131-E131)/E131)</f>
        <v/>
      </c>
      <c r="H131" s="8" t="n">
        <v>112500</v>
      </c>
      <c r="I131" s="8" t="n">
        <v>38000</v>
      </c>
      <c r="J131" s="6">
        <f>IF(H131=0, "N/A", (I131-H131)/H131)</f>
        <v/>
      </c>
      <c r="K131" s="8">
        <f>B131+E131+H131</f>
        <v/>
      </c>
      <c r="L131" s="8">
        <f>C131+F131+I131</f>
        <v/>
      </c>
      <c r="M131" s="6">
        <f>IF(K131=0, "N/A", (L131-K131)/K131)</f>
        <v/>
      </c>
    </row>
    <row r="132">
      <c r="A132" s="2" t="inlineStr">
        <is>
          <t>Chombas Manga Larga</t>
        </is>
      </c>
      <c r="B132" s="8" t="n"/>
      <c r="C132" s="8" t="n">
        <v>565661.5831</v>
      </c>
      <c r="D132" s="6">
        <f>IF(B132=0, "N/A", (C132-B132)/B132)</f>
        <v/>
      </c>
      <c r="E132" s="8" t="n"/>
      <c r="F132" s="8" t="n">
        <v>425491.7746</v>
      </c>
      <c r="G132" s="6">
        <f>IF(E132=0, "N/A", (F132-E132)/E132)</f>
        <v/>
      </c>
      <c r="H132" s="8" t="n">
        <v>563700</v>
      </c>
      <c r="I132" s="8" t="n">
        <v>-30400</v>
      </c>
      <c r="J132" s="6">
        <f>IF(H132=0, "N/A", (I132-H132)/H132)</f>
        <v/>
      </c>
      <c r="K132" s="8">
        <f>B132+E132+H132</f>
        <v/>
      </c>
      <c r="L132" s="8">
        <f>C132+F132+I132</f>
        <v/>
      </c>
      <c r="M132" s="6">
        <f>IF(K132=0, "N/A", (L132-K132)/K132)</f>
        <v/>
      </c>
    </row>
    <row r="133">
      <c r="A133" s="2" t="inlineStr">
        <is>
          <t>Jeans</t>
        </is>
      </c>
      <c r="B133" s="8" t="n">
        <v>3197821.6287</v>
      </c>
      <c r="C133" s="8" t="n">
        <v>3251519.849</v>
      </c>
      <c r="D133" s="6">
        <f>IF(B133=0, "N/A", (C133-B133)/B133)</f>
        <v/>
      </c>
      <c r="E133" s="8" t="n">
        <v>5053940.6559</v>
      </c>
      <c r="F133" s="8" t="n">
        <v>3102138.4239</v>
      </c>
      <c r="G133" s="6">
        <f>IF(E133=0, "N/A", (F133-E133)/E133)</f>
        <v/>
      </c>
      <c r="H133" s="8" t="n">
        <v>11895611.5563</v>
      </c>
      <c r="I133" s="8" t="n">
        <v>21968294.7175</v>
      </c>
      <c r="J133" s="6">
        <f>IF(H133=0, "N/A", (I133-H133)/H133)</f>
        <v/>
      </c>
      <c r="K133" s="8">
        <f>B133+E133+H133</f>
        <v/>
      </c>
      <c r="L133" s="8">
        <f>C133+F133+I133</f>
        <v/>
      </c>
      <c r="M133" s="6">
        <f>IF(K133=0, "N/A", (L133-K133)/K133)</f>
        <v/>
      </c>
    </row>
    <row r="134">
      <c r="A134" s="2" t="inlineStr">
        <is>
          <t>Jogging</t>
        </is>
      </c>
      <c r="B134" s="8" t="n">
        <v>635050</v>
      </c>
      <c r="C134" s="8" t="n">
        <v>901900.0011</v>
      </c>
      <c r="D134" s="6">
        <f>IF(B134=0, "N/A", (C134-B134)/B134)</f>
        <v/>
      </c>
      <c r="E134" s="8" t="n">
        <v>1180600</v>
      </c>
      <c r="F134" s="8" t="n">
        <v>1343378.2629</v>
      </c>
      <c r="G134" s="6">
        <f>IF(E134=0, "N/A", (F134-E134)/E134)</f>
        <v/>
      </c>
      <c r="H134" s="8" t="n">
        <v>3811490</v>
      </c>
      <c r="I134" s="8" t="n">
        <v>5058965.8081</v>
      </c>
      <c r="J134" s="6">
        <f>IF(H134=0, "N/A", (I134-H134)/H134)</f>
        <v/>
      </c>
      <c r="K134" s="8">
        <f>B134+E134+H134</f>
        <v/>
      </c>
      <c r="L134" s="8">
        <f>C134+F134+I134</f>
        <v/>
      </c>
      <c r="M134" s="6">
        <f>IF(K134=0, "N/A", (L134-K134)/K134)</f>
        <v/>
      </c>
    </row>
    <row r="135">
      <c r="A135" s="2" t="inlineStr">
        <is>
          <t>Jogging Corto</t>
        </is>
      </c>
      <c r="B135" s="8" t="n"/>
      <c r="C135" s="8" t="n"/>
      <c r="D135" s="6">
        <f>IF(B135=0, "N/A", (C135-B135)/B135)</f>
        <v/>
      </c>
      <c r="E135" s="8" t="n"/>
      <c r="F135" s="8" t="n"/>
      <c r="G135" s="6">
        <f>IF(E135=0, "N/A", (F135-E135)/E135)</f>
        <v/>
      </c>
      <c r="H135" s="8" t="n">
        <v>32000</v>
      </c>
      <c r="I135" s="8" t="n"/>
      <c r="J135" s="6">
        <f>IF(H135=0, "N/A", (I135-H135)/H135)</f>
        <v/>
      </c>
      <c r="K135" s="8">
        <f>B135+E135+H135</f>
        <v/>
      </c>
      <c r="L135" s="8">
        <f>C135+F135+I135</f>
        <v/>
      </c>
      <c r="M135" s="6">
        <f>IF(K135=0, "N/A", (L135-K135)/K135)</f>
        <v/>
      </c>
    </row>
    <row r="136">
      <c r="A136" s="2" t="inlineStr">
        <is>
          <t>Musculosas</t>
        </is>
      </c>
      <c r="B136" s="8" t="n"/>
      <c r="C136" s="8" t="n">
        <v>11940</v>
      </c>
      <c r="D136" s="6">
        <f>IF(B136=0, "N/A", (C136-B136)/B136)</f>
        <v/>
      </c>
      <c r="E136" s="8" t="n"/>
      <c r="F136" s="8" t="n"/>
      <c r="G136" s="6">
        <f>IF(E136=0, "N/A", (F136-E136)/E136)</f>
        <v/>
      </c>
      <c r="H136" s="8" t="n"/>
      <c r="I136" s="8" t="n"/>
      <c r="J136" s="6">
        <f>IF(H136=0, "N/A", (I136-H136)/H136)</f>
        <v/>
      </c>
      <c r="K136" s="8">
        <f>B136+E136+H136</f>
        <v/>
      </c>
      <c r="L136" s="8">
        <f>C136+F136+I136</f>
        <v/>
      </c>
      <c r="M136" s="6">
        <f>IF(K136=0, "N/A", (L136-K136)/K136)</f>
        <v/>
      </c>
    </row>
    <row r="137">
      <c r="A137" s="2" t="inlineStr">
        <is>
          <t>Otro</t>
        </is>
      </c>
      <c r="B137" s="8" t="n"/>
      <c r="C137" s="8" t="n"/>
      <c r="D137" s="6">
        <f>IF(B137=0, "N/A", (C137-B137)/B137)</f>
        <v/>
      </c>
      <c r="E137" s="8" t="n"/>
      <c r="F137" s="8" t="n"/>
      <c r="G137" s="6">
        <f>IF(E137=0, "N/A", (F137-E137)/E137)</f>
        <v/>
      </c>
      <c r="H137" s="8" t="n"/>
      <c r="I137" s="8" t="n">
        <v>55900</v>
      </c>
      <c r="J137" s="6">
        <f>IF(H137=0, "N/A", (I137-H137)/H137)</f>
        <v/>
      </c>
      <c r="K137" s="8">
        <f>B137+E137+H137</f>
        <v/>
      </c>
      <c r="L137" s="8">
        <f>C137+F137+I137</f>
        <v/>
      </c>
      <c r="M137" s="6">
        <f>IF(K137=0, "N/A", (L137-K137)/K137)</f>
        <v/>
      </c>
    </row>
    <row r="138">
      <c r="A138" s="2" t="inlineStr">
        <is>
          <t>Remeras</t>
        </is>
      </c>
      <c r="B138" s="8" t="n">
        <v>2468899.1619</v>
      </c>
      <c r="C138" s="8" t="n">
        <v>1099466.512</v>
      </c>
      <c r="D138" s="6">
        <f>IF(B138=0, "N/A", (C138-B138)/B138)</f>
        <v/>
      </c>
      <c r="E138" s="8" t="n">
        <v>3382308.786</v>
      </c>
      <c r="F138" s="8" t="n">
        <v>3082471.2394</v>
      </c>
      <c r="G138" s="6">
        <f>IF(E138=0, "N/A", (F138-E138)/E138)</f>
        <v/>
      </c>
      <c r="H138" s="8" t="n">
        <v>7915538.2443</v>
      </c>
      <c r="I138" s="8" t="n">
        <v>3548404.1147</v>
      </c>
      <c r="J138" s="6">
        <f>IF(H138=0, "N/A", (I138-H138)/H138)</f>
        <v/>
      </c>
      <c r="K138" s="8">
        <f>B138+E138+H138</f>
        <v/>
      </c>
      <c r="L138" s="8">
        <f>C138+F138+I138</f>
        <v/>
      </c>
      <c r="M138" s="6">
        <f>IF(K138=0, "N/A", (L138-K138)/K138)</f>
        <v/>
      </c>
    </row>
    <row r="139">
      <c r="A139" s="2" t="inlineStr">
        <is>
          <t>Sweaters</t>
        </is>
      </c>
      <c r="B139" s="8" t="n">
        <v>748500</v>
      </c>
      <c r="C139" s="8" t="n">
        <v>1512809.9977</v>
      </c>
      <c r="D139" s="6">
        <f>IF(B139=0, "N/A", (C139-B139)/B139)</f>
        <v/>
      </c>
      <c r="E139" s="8" t="n">
        <v>1719399.397</v>
      </c>
      <c r="F139" s="8" t="n">
        <v>1557764.76</v>
      </c>
      <c r="G139" s="6">
        <f>IF(E139=0, "N/A", (F139-E139)/E139)</f>
        <v/>
      </c>
      <c r="H139" s="8" t="n">
        <v>1562289.8227</v>
      </c>
      <c r="I139" s="8" t="n">
        <v>3820020</v>
      </c>
      <c r="J139" s="6">
        <f>IF(H139=0, "N/A", (I139-H139)/H139)</f>
        <v/>
      </c>
      <c r="K139" s="8">
        <f>B139+E139+H139</f>
        <v/>
      </c>
      <c r="L139" s="8">
        <f>C139+F139+I139</f>
        <v/>
      </c>
      <c r="M139" s="6">
        <f>IF(K139=0, "N/A", (L139-K139)/K139)</f>
        <v/>
      </c>
    </row>
    <row r="140">
      <c r="A140" s="2" t="inlineStr">
        <is>
          <t>Trajes De Baño</t>
        </is>
      </c>
      <c r="B140" s="8" t="n"/>
      <c r="C140" s="8" t="n"/>
      <c r="D140" s="6">
        <f>IF(B140=0, "N/A", (C140-B140)/B140)</f>
        <v/>
      </c>
      <c r="E140" s="8" t="n"/>
      <c r="F140" s="8" t="n">
        <v>19036.3144</v>
      </c>
      <c r="G140" s="6">
        <f>IF(E140=0, "N/A", (F140-E140)/E140)</f>
        <v/>
      </c>
      <c r="H140" s="8" t="n"/>
      <c r="I140" s="8" t="n"/>
      <c r="J140" s="6">
        <f>IF(H140=0, "N/A", (I140-H140)/H140)</f>
        <v/>
      </c>
      <c r="K140" s="8">
        <f>B140+E140+H140</f>
        <v/>
      </c>
      <c r="L140" s="8">
        <f>C140+F140+I140</f>
        <v/>
      </c>
      <c r="M140" s="6">
        <f>IF(K140=0, "N/A", (L140-K140)/K140)</f>
        <v/>
      </c>
    </row>
    <row r="141">
      <c r="A141" s="5" t="inlineStr">
        <is>
          <t>Totals</t>
        </is>
      </c>
      <c r="B141" s="9">
        <f>SUM($B116:$B140)</f>
        <v/>
      </c>
      <c r="C141" s="9">
        <f>SUM($C116:$C140)</f>
        <v/>
      </c>
      <c r="D141" s="7">
        <f>IF(B141=0, "N/A", (C141-B141)/B141)</f>
        <v/>
      </c>
      <c r="E141" s="9">
        <f>SUM($E116:$E140)</f>
        <v/>
      </c>
      <c r="F141" s="9">
        <f>SUM($F116:$F140)</f>
        <v/>
      </c>
      <c r="G141" s="7">
        <f>IF(E141=0, "N/A", (F141-E141)/E141)</f>
        <v/>
      </c>
      <c r="H141" s="9">
        <f>SUM($H116:$H140)</f>
        <v/>
      </c>
      <c r="I141" s="9">
        <f>SUM($I116:$I140)</f>
        <v/>
      </c>
      <c r="J141" s="7">
        <f>IF(H141=0, "N/A", (I141-H141)/H141)</f>
        <v/>
      </c>
      <c r="K141" s="9">
        <f>SUM($K116:$K140)</f>
        <v/>
      </c>
      <c r="L141" s="9">
        <f>SUM($L116:$L140)</f>
        <v/>
      </c>
      <c r="M141" s="7">
        <f>IF(K141=0, "N/A", (L141-K141)/K141)</f>
        <v/>
      </c>
    </row>
    <row r="144">
      <c r="A144" s="1" t="inlineStr">
        <is>
          <t>YoY Sales Amount Comparison - Branch Group 2</t>
        </is>
      </c>
    </row>
    <row r="145">
      <c r="B145" s="1" t="inlineStr">
        <is>
          <t>VIRREYES</t>
        </is>
      </c>
      <c r="C145" s="1" t="n"/>
      <c r="D145" s="1" t="n"/>
    </row>
    <row r="146">
      <c r="A146" s="1" t="inlineStr">
        <is>
          <t>Familias</t>
        </is>
      </c>
      <c r="B146" s="1" t="n">
        <v>2025</v>
      </c>
      <c r="C146" s="1" t="n">
        <v>2026</v>
      </c>
      <c r="D146" s="1" t="inlineStr">
        <is>
          <t>%</t>
        </is>
      </c>
    </row>
    <row r="147">
      <c r="A147" s="2" t="inlineStr">
        <is>
          <t>Accesorios</t>
        </is>
      </c>
      <c r="B147" s="8" t="n">
        <v>115500</v>
      </c>
      <c r="C147" s="8" t="n">
        <v>32900</v>
      </c>
      <c r="D147" s="6">
        <f>IF(B147=0, "N/A", (C147-B147)/B147)</f>
        <v/>
      </c>
    </row>
    <row r="148">
      <c r="A148" s="2" t="inlineStr">
        <is>
          <t>Boxer</t>
        </is>
      </c>
      <c r="B148" s="8" t="n">
        <v>40500</v>
      </c>
      <c r="C148" s="8" t="n">
        <v>29000</v>
      </c>
      <c r="D148" s="6">
        <f>IF(B148=0, "N/A", (C148-B148)/B148)</f>
        <v/>
      </c>
    </row>
    <row r="149">
      <c r="A149" s="2" t="inlineStr">
        <is>
          <t>Buzo Cuello Redondo</t>
        </is>
      </c>
      <c r="B149" s="8" t="n">
        <v>268420</v>
      </c>
      <c r="C149" s="8" t="n">
        <v>190000</v>
      </c>
      <c r="D149" s="6">
        <f>IF(B149=0, "N/A", (C149-B149)/B149)</f>
        <v/>
      </c>
    </row>
    <row r="150">
      <c r="A150" s="2" t="inlineStr">
        <is>
          <t>Buzos C Capucha</t>
        </is>
      </c>
      <c r="B150" s="8" t="n">
        <v>1253394</v>
      </c>
      <c r="C150" s="8" t="n">
        <v>583410.0013</v>
      </c>
      <c r="D150" s="6">
        <f>IF(B150=0, "N/A", (C150-B150)/B150)</f>
        <v/>
      </c>
    </row>
    <row r="151">
      <c r="A151" s="2" t="inlineStr">
        <is>
          <t>Buzos C Capucha Orangutan</t>
        </is>
      </c>
      <c r="B151" s="8" t="n"/>
      <c r="C151" s="8" t="n">
        <v>199600</v>
      </c>
      <c r="D151" s="6">
        <f>IF(B151=0, "N/A", (C151-B151)/B151)</f>
        <v/>
      </c>
    </row>
    <row r="152">
      <c r="A152" s="2" t="inlineStr">
        <is>
          <t>Buzos C Redondo Orangutan</t>
        </is>
      </c>
      <c r="B152" s="8" t="n"/>
      <c r="C152" s="8" t="n">
        <v>38900</v>
      </c>
      <c r="D152" s="6">
        <f>IF(B152=0, "N/A", (C152-B152)/B152)</f>
        <v/>
      </c>
    </row>
    <row r="153">
      <c r="A153" s="2" t="inlineStr">
        <is>
          <t>Calzado</t>
        </is>
      </c>
      <c r="B153" s="8" t="n">
        <v>25300</v>
      </c>
      <c r="C153" s="8" t="n"/>
      <c r="D153" s="6">
        <f>IF(B153=0, "N/A", (C153-B153)/B153)</f>
        <v/>
      </c>
    </row>
    <row r="154">
      <c r="A154" s="2" t="inlineStr">
        <is>
          <t>Camisetas Manga Larga</t>
        </is>
      </c>
      <c r="B154" s="8" t="n">
        <v>36000</v>
      </c>
      <c r="C154" s="8" t="n"/>
      <c r="D154" s="6">
        <f>IF(B154=0, "N/A", (C154-B154)/B154)</f>
        <v/>
      </c>
    </row>
    <row r="155">
      <c r="A155" s="2" t="inlineStr">
        <is>
          <t>Camisetas Manga Larga Orangutan</t>
        </is>
      </c>
      <c r="B155" s="8" t="n"/>
      <c r="C155" s="8" t="n">
        <v>77800</v>
      </c>
      <c r="D155" s="6">
        <f>IF(B155=0, "N/A", (C155-B155)/B155)</f>
        <v/>
      </c>
    </row>
    <row r="156">
      <c r="A156" s="2" t="inlineStr">
        <is>
          <t>Camperas Capucha</t>
        </is>
      </c>
      <c r="B156" s="8" t="n">
        <v>479500</v>
      </c>
      <c r="C156" s="8" t="n">
        <v>49900</v>
      </c>
      <c r="D156" s="6">
        <f>IF(B156=0, "N/A", (C156-B156)/B156)</f>
        <v/>
      </c>
    </row>
    <row r="157">
      <c r="A157" s="2" t="inlineStr">
        <is>
          <t>Camperas De Abrigo</t>
        </is>
      </c>
      <c r="B157" s="8" t="n">
        <v>465000</v>
      </c>
      <c r="C157" s="8" t="n">
        <v>116019.9979</v>
      </c>
      <c r="D157" s="6">
        <f>IF(B157=0, "N/A", (C157-B157)/B157)</f>
        <v/>
      </c>
    </row>
    <row r="158">
      <c r="A158" s="2" t="inlineStr">
        <is>
          <t>Chombas Manga Larga</t>
        </is>
      </c>
      <c r="B158" s="8" t="n"/>
      <c r="C158" s="8" t="n">
        <v>30000</v>
      </c>
      <c r="D158" s="6">
        <f>IF(B158=0, "N/A", (C158-B158)/B158)</f>
        <v/>
      </c>
    </row>
    <row r="159">
      <c r="A159" s="2" t="inlineStr">
        <is>
          <t>Jeans</t>
        </is>
      </c>
      <c r="B159" s="8" t="n">
        <v>594930</v>
      </c>
      <c r="C159" s="8" t="n">
        <v>285290</v>
      </c>
      <c r="D159" s="6">
        <f>IF(B159=0, "N/A", (C159-B159)/B159)</f>
        <v/>
      </c>
    </row>
    <row r="160">
      <c r="A160" s="2" t="inlineStr">
        <is>
          <t>Jogging</t>
        </is>
      </c>
      <c r="B160" s="8" t="n">
        <v>177500</v>
      </c>
      <c r="C160" s="8" t="n">
        <v>85550</v>
      </c>
      <c r="D160" s="6">
        <f>IF(B160=0, "N/A", (C160-B160)/B160)</f>
        <v/>
      </c>
    </row>
    <row r="161">
      <c r="A161" s="2" t="inlineStr">
        <is>
          <t>Otro</t>
        </is>
      </c>
      <c r="B161" s="8" t="n">
        <v>19900</v>
      </c>
      <c r="C161" s="8" t="n"/>
      <c r="D161" s="6">
        <f>IF(B161=0, "N/A", (C161-B161)/B161)</f>
        <v/>
      </c>
    </row>
    <row r="162">
      <c r="A162" s="2" t="inlineStr">
        <is>
          <t>Remeras</t>
        </is>
      </c>
      <c r="B162" s="8" t="n">
        <v>745700</v>
      </c>
      <c r="C162" s="8" t="n">
        <v>61830.0008</v>
      </c>
      <c r="D162" s="6">
        <f>IF(B162=0, "N/A", (C162-B162)/B162)</f>
        <v/>
      </c>
    </row>
    <row r="163">
      <c r="A163" s="2" t="inlineStr">
        <is>
          <t>Sweaters</t>
        </is>
      </c>
      <c r="B163" s="8" t="n">
        <v>86000</v>
      </c>
      <c r="C163" s="8" t="n"/>
      <c r="D163" s="6">
        <f>IF(B163=0, "N/A", (C163-B163)/B163)</f>
        <v/>
      </c>
    </row>
    <row r="164">
      <c r="A164" s="5" t="inlineStr">
        <is>
          <t>Totals</t>
        </is>
      </c>
      <c r="B164" s="9">
        <f>SUM($B147:$B163)</f>
        <v/>
      </c>
      <c r="C164" s="9">
        <f>SUM($C147:$C163)</f>
        <v/>
      </c>
      <c r="D164" s="7">
        <f>IF(B164=0, "N/A", (C164-B164)/B164)</f>
        <v/>
      </c>
    </row>
  </sheetData>
  <mergeCells count="16">
    <mergeCell ref="H114:I114"/>
    <mergeCell ref="B62:C62"/>
    <mergeCell ref="A144:D144"/>
    <mergeCell ref="A61:D61"/>
    <mergeCell ref="A84:F84"/>
    <mergeCell ref="A1:F1"/>
    <mergeCell ref="B114:C114"/>
    <mergeCell ref="B145:C145"/>
    <mergeCell ref="A30:M30"/>
    <mergeCell ref="K114:L114"/>
    <mergeCell ref="B31:C31"/>
    <mergeCell ref="H31:I31"/>
    <mergeCell ref="K31:L31"/>
    <mergeCell ref="A113:M113"/>
    <mergeCell ref="E31:F31"/>
    <mergeCell ref="E114:F1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June 01, 2026 to June 30,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56</v>
      </c>
      <c r="C3" s="3" t="n">
        <v>72</v>
      </c>
      <c r="D3" s="3" t="n">
        <v>154</v>
      </c>
      <c r="E3" s="3" t="n">
        <v>3</v>
      </c>
      <c r="F3" s="4">
        <f>B3+C3+D3+E3</f>
        <v/>
      </c>
    </row>
    <row r="4">
      <c r="A4" s="2" t="inlineStr">
        <is>
          <t>Boxer</t>
        </is>
      </c>
      <c r="B4" s="3" t="n">
        <v>38</v>
      </c>
      <c r="C4" s="3" t="n">
        <v>36</v>
      </c>
      <c r="D4" s="3" t="n">
        <v>136</v>
      </c>
      <c r="E4" s="3" t="n">
        <v>1</v>
      </c>
      <c r="F4" s="4">
        <f>B4+C4+D4+E4</f>
        <v/>
      </c>
    </row>
    <row r="5">
      <c r="A5" s="2" t="inlineStr">
        <is>
          <t>Buzo C Capucha Rustico</t>
        </is>
      </c>
      <c r="B5" s="3" t="n"/>
      <c r="C5" s="3" t="n"/>
      <c r="D5" s="3" t="n"/>
      <c r="E5" s="3" t="n"/>
      <c r="F5" s="4">
        <f>B5+C5+D5+E5</f>
        <v/>
      </c>
    </row>
    <row r="6">
      <c r="A6" s="2" t="inlineStr">
        <is>
          <t>Buzo Cuello Redondo</t>
        </is>
      </c>
      <c r="B6" s="3" t="n">
        <v>83</v>
      </c>
      <c r="C6" s="3" t="n">
        <v>173</v>
      </c>
      <c r="D6" s="3" t="n">
        <v>445</v>
      </c>
      <c r="E6" s="3" t="n">
        <v>2</v>
      </c>
      <c r="F6" s="4">
        <f>B6+C6+D6+E6</f>
        <v/>
      </c>
    </row>
    <row r="7">
      <c r="A7" s="2" t="inlineStr">
        <is>
          <t>Buzos C Capucha</t>
        </is>
      </c>
      <c r="B7" s="3" t="n">
        <v>55</v>
      </c>
      <c r="C7" s="3" t="n">
        <v>52</v>
      </c>
      <c r="D7" s="3" t="n">
        <v>210</v>
      </c>
      <c r="E7" s="3" t="n">
        <v>3</v>
      </c>
      <c r="F7" s="4">
        <f>B7+C7+D7+E7</f>
        <v/>
      </c>
    </row>
    <row r="8">
      <c r="A8" s="2" t="inlineStr">
        <is>
          <t>Buzos C Capucha Orangutan</t>
        </is>
      </c>
      <c r="B8" s="3" t="n">
        <v>13</v>
      </c>
      <c r="C8" s="3" t="n">
        <v>27</v>
      </c>
      <c r="D8" s="3" t="n">
        <v>106</v>
      </c>
      <c r="E8" s="3" t="n">
        <v>15</v>
      </c>
      <c r="F8" s="4">
        <f>B8+C8+D8+E8</f>
        <v/>
      </c>
    </row>
    <row r="9">
      <c r="A9" s="2" t="inlineStr">
        <is>
          <t>Buzos C Redondo Orangutan</t>
        </is>
      </c>
      <c r="B9" s="3" t="n">
        <v>32</v>
      </c>
      <c r="C9" s="3" t="n">
        <v>20</v>
      </c>
      <c r="D9" s="3" t="n">
        <v>118</v>
      </c>
      <c r="E9" s="3" t="n">
        <v>6</v>
      </c>
      <c r="F9" s="4">
        <f>B9+C9+D9+E9</f>
        <v/>
      </c>
    </row>
    <row r="10">
      <c r="A10" s="2" t="inlineStr">
        <is>
          <t>Buzos Medio Cierre</t>
        </is>
      </c>
      <c r="B10" s="3" t="n">
        <v>20</v>
      </c>
      <c r="C10" s="3" t="n">
        <v>22</v>
      </c>
      <c r="D10" s="3" t="n">
        <v>82</v>
      </c>
      <c r="E10" s="3" t="n"/>
      <c r="F10" s="4">
        <f>B10+C10+D10+E10</f>
        <v/>
      </c>
    </row>
    <row r="11">
      <c r="A11" s="2" t="inlineStr">
        <is>
          <t>Calzado</t>
        </is>
      </c>
      <c r="B11" s="3" t="n"/>
      <c r="C11" s="3" t="n"/>
      <c r="D11" s="3" t="n"/>
      <c r="E11" s="3" t="n">
        <v>1</v>
      </c>
      <c r="F11" s="4">
        <f>B11+C11+D11+E11</f>
        <v/>
      </c>
    </row>
    <row r="12">
      <c r="A12" s="2" t="inlineStr">
        <is>
          <t>Camisas</t>
        </is>
      </c>
      <c r="B12" s="3" t="n">
        <v>3</v>
      </c>
      <c r="C12" s="3" t="n">
        <v>4</v>
      </c>
      <c r="D12" s="3" t="n">
        <v>5</v>
      </c>
      <c r="E12" s="3" t="n"/>
      <c r="F12" s="4">
        <f>B12+C12+D12+E12</f>
        <v/>
      </c>
    </row>
    <row r="13">
      <c r="A13" s="2" t="inlineStr">
        <is>
          <t>Camisetas Manga Larga</t>
        </is>
      </c>
      <c r="B13" s="3" t="n">
        <v>45</v>
      </c>
      <c r="C13" s="3" t="n">
        <v>39</v>
      </c>
      <c r="D13" s="3" t="n">
        <v>106</v>
      </c>
      <c r="E13" s="3" t="n"/>
      <c r="F13" s="4">
        <f>B13+C13+D13+E13</f>
        <v/>
      </c>
    </row>
    <row r="14">
      <c r="A14" s="2" t="inlineStr">
        <is>
          <t>Camisetas Manga Larga Orangutan</t>
        </is>
      </c>
      <c r="B14" s="3" t="n">
        <v>13</v>
      </c>
      <c r="C14" s="3" t="n">
        <v>14</v>
      </c>
      <c r="D14" s="3" t="n">
        <v>211</v>
      </c>
      <c r="E14" s="3" t="n">
        <v>7</v>
      </c>
      <c r="F14" s="4">
        <f>B14+C14+D14+E14</f>
        <v/>
      </c>
    </row>
    <row r="15">
      <c r="A15" s="2" t="inlineStr">
        <is>
          <t>Campera Capucha Rustico</t>
        </is>
      </c>
      <c r="B15" s="3" t="n"/>
      <c r="C15" s="3" t="n"/>
      <c r="D15" s="3" t="n">
        <v>3</v>
      </c>
      <c r="E15" s="3" t="n"/>
      <c r="F15" s="4">
        <f>B15+C15+D15+E15</f>
        <v/>
      </c>
    </row>
    <row r="16">
      <c r="A16" s="2" t="inlineStr">
        <is>
          <t>Campera S Capucha</t>
        </is>
      </c>
      <c r="B16" s="3" t="n">
        <v>5</v>
      </c>
      <c r="C16" s="3" t="n">
        <v>10</v>
      </c>
      <c r="D16" s="3" t="n">
        <v>45</v>
      </c>
      <c r="E16" s="3" t="n">
        <v>1</v>
      </c>
      <c r="F16" s="4">
        <f>B16+C16+D16+E16</f>
        <v/>
      </c>
    </row>
    <row r="17">
      <c r="A17" s="2" t="inlineStr">
        <is>
          <t>Camperas Capucha</t>
        </is>
      </c>
      <c r="B17" s="3" t="n">
        <v>44</v>
      </c>
      <c r="C17" s="3" t="n">
        <v>46</v>
      </c>
      <c r="D17" s="3" t="n">
        <v>133</v>
      </c>
      <c r="E17" s="3" t="n">
        <v>2</v>
      </c>
      <c r="F17" s="4">
        <f>B17+C17+D17+E17</f>
        <v/>
      </c>
    </row>
    <row r="18">
      <c r="A18" s="2" t="inlineStr">
        <is>
          <t>Camperas De Abrigo</t>
        </is>
      </c>
      <c r="B18" s="3" t="n">
        <v>20</v>
      </c>
      <c r="C18" s="3" t="n">
        <v>17</v>
      </c>
      <c r="D18" s="3" t="n">
        <v>45</v>
      </c>
      <c r="E18" s="3" t="n">
        <v>5</v>
      </c>
      <c r="F18" s="4">
        <f>B18+C18+D18+E18</f>
        <v/>
      </c>
    </row>
    <row r="19">
      <c r="A19" s="2" t="inlineStr">
        <is>
          <t>Chombas</t>
        </is>
      </c>
      <c r="B19" s="3" t="n">
        <v>6</v>
      </c>
      <c r="C19" s="3" t="n">
        <v>12</v>
      </c>
      <c r="D19" s="3" t="n">
        <v>16</v>
      </c>
      <c r="E19" s="3" t="n">
        <v>1</v>
      </c>
      <c r="F19" s="4">
        <f>B19+C19+D19+E19</f>
        <v/>
      </c>
    </row>
    <row r="20">
      <c r="A20" s="2" t="inlineStr">
        <is>
          <t>Chombas Manga Larga</t>
        </is>
      </c>
      <c r="B20" s="3" t="n">
        <v>10</v>
      </c>
      <c r="C20" s="3" t="n">
        <v>8</v>
      </c>
      <c r="D20" s="3" t="n">
        <v>10</v>
      </c>
      <c r="E20" s="3" t="n"/>
      <c r="F20" s="4">
        <f>B20+C20+D20+E20</f>
        <v/>
      </c>
    </row>
    <row r="21">
      <c r="A21" s="2" t="inlineStr">
        <is>
          <t>Jeans</t>
        </is>
      </c>
      <c r="B21" s="3" t="n">
        <v>91</v>
      </c>
      <c r="C21" s="3" t="n">
        <v>101</v>
      </c>
      <c r="D21" s="3" t="n">
        <v>480</v>
      </c>
      <c r="E21" s="3" t="n">
        <v>15</v>
      </c>
      <c r="F21" s="4">
        <f>B21+C21+D21+E21</f>
        <v/>
      </c>
    </row>
    <row r="22">
      <c r="A22" s="2" t="inlineStr">
        <is>
          <t>Jogging</t>
        </is>
      </c>
      <c r="B22" s="3" t="n">
        <v>46</v>
      </c>
      <c r="C22" s="3" t="n">
        <v>38</v>
      </c>
      <c r="D22" s="3" t="n">
        <v>160</v>
      </c>
      <c r="E22" s="3" t="n">
        <v>12</v>
      </c>
      <c r="F22" s="4">
        <f>B22+C22+D22+E22</f>
        <v/>
      </c>
    </row>
    <row r="23">
      <c r="A23" s="2" t="inlineStr">
        <is>
          <t>Otro</t>
        </is>
      </c>
      <c r="B23" s="3" t="n"/>
      <c r="C23" s="3" t="n"/>
      <c r="D23" s="3" t="n"/>
      <c r="E23" s="3" t="n">
        <v>2</v>
      </c>
      <c r="F23" s="4">
        <f>B23+C23+D23+E23</f>
        <v/>
      </c>
    </row>
    <row r="24">
      <c r="A24" s="2" t="inlineStr">
        <is>
          <t>Remeras</t>
        </is>
      </c>
      <c r="B24" s="3" t="n">
        <v>62</v>
      </c>
      <c r="C24" s="3" t="n">
        <v>94</v>
      </c>
      <c r="D24" s="3" t="n">
        <v>219</v>
      </c>
      <c r="E24" s="3" t="n">
        <v>17</v>
      </c>
      <c r="F24" s="4">
        <f>B24+C24+D24+E24</f>
        <v/>
      </c>
    </row>
    <row r="25">
      <c r="A25" s="2" t="inlineStr">
        <is>
          <t>Sweaters</t>
        </is>
      </c>
      <c r="B25" s="3" t="n">
        <v>39</v>
      </c>
      <c r="C25" s="3" t="n">
        <v>54</v>
      </c>
      <c r="D25" s="3" t="n">
        <v>53</v>
      </c>
      <c r="E25" s="3" t="n"/>
      <c r="F25" s="4">
        <f>B25+C25+D25+E25</f>
        <v/>
      </c>
    </row>
    <row r="26">
      <c r="A26" s="5" t="inlineStr">
        <is>
          <t>Totals</t>
        </is>
      </c>
      <c r="B26" s="4">
        <f>SUM($B$3:$B$25)</f>
        <v/>
      </c>
      <c r="C26" s="4">
        <f>SUM($C$3:$C$25)</f>
        <v/>
      </c>
      <c r="D26" s="4">
        <f>SUM($D$3:$D$25)</f>
        <v/>
      </c>
      <c r="E26" s="4">
        <f>SUM($E$3:$E$25)</f>
        <v/>
      </c>
      <c r="F26" s="4">
        <f>SUM($F$3:$F$25)</f>
        <v/>
      </c>
    </row>
    <row r="29">
      <c r="A29" s="1" t="inlineStr">
        <is>
          <t>YoY Units Sold Comparison - Branch Group 1</t>
        </is>
      </c>
    </row>
    <row r="30">
      <c r="B30" s="1" t="inlineStr">
        <is>
          <t>LIBERT.R</t>
        </is>
      </c>
      <c r="C30" s="1" t="n"/>
      <c r="D30" s="1" t="n"/>
      <c r="E30" s="1" t="inlineStr">
        <is>
          <t>PASO.R</t>
        </is>
      </c>
      <c r="F30" s="1" t="n"/>
      <c r="G30" s="1" t="n"/>
      <c r="H30" s="1" t="inlineStr">
        <is>
          <t>P.OESTE</t>
        </is>
      </c>
      <c r="I30" s="1" t="n"/>
      <c r="J30" s="1" t="n"/>
      <c r="K30" s="1" t="inlineStr">
        <is>
          <t>Global</t>
        </is>
      </c>
      <c r="L30" s="1" t="n"/>
      <c r="M30" s="1" t="n"/>
    </row>
    <row r="31">
      <c r="A31" s="1" t="inlineStr">
        <is>
          <t>Familias</t>
        </is>
      </c>
      <c r="B31" s="1" t="n">
        <v>2025</v>
      </c>
      <c r="C31" s="1" t="n">
        <v>2026</v>
      </c>
      <c r="D31" s="1" t="inlineStr">
        <is>
          <t>%</t>
        </is>
      </c>
      <c r="E31" s="1" t="n">
        <v>2025</v>
      </c>
      <c r="F31" s="1" t="n">
        <v>2026</v>
      </c>
      <c r="G31" s="1" t="inlineStr">
        <is>
          <t>%</t>
        </is>
      </c>
      <c r="H31" s="1" t="n">
        <v>2025</v>
      </c>
      <c r="I31" s="1" t="n">
        <v>2026</v>
      </c>
      <c r="J31" s="1" t="inlineStr">
        <is>
          <t>%</t>
        </is>
      </c>
      <c r="K31" s="1" t="n">
        <v>2025</v>
      </c>
      <c r="L31" s="1" t="n">
        <v>2026</v>
      </c>
      <c r="M31" s="1" t="inlineStr">
        <is>
          <t>%</t>
        </is>
      </c>
    </row>
    <row r="32">
      <c r="A32" s="2" t="inlineStr">
        <is>
          <t>Accesorios</t>
        </is>
      </c>
      <c r="B32" s="3" t="n">
        <v>102</v>
      </c>
      <c r="C32" s="3" t="n">
        <v>56</v>
      </c>
      <c r="D32" s="6">
        <f>IF(B32=0, "N/A", (C32-B32)/B32)</f>
        <v/>
      </c>
      <c r="E32" s="3" t="n">
        <v>107</v>
      </c>
      <c r="F32" s="3" t="n">
        <v>72</v>
      </c>
      <c r="G32" s="6">
        <f>IF(E32=0, "N/A", (F32-E32)/E32)</f>
        <v/>
      </c>
      <c r="H32" s="3" t="n">
        <v>219</v>
      </c>
      <c r="I32" s="3" t="n">
        <v>154</v>
      </c>
      <c r="J32" s="6">
        <f>IF(H32=0, "N/A", (I32-H32)/H32)</f>
        <v/>
      </c>
      <c r="K32" s="3">
        <f>B32+E32+H32</f>
        <v/>
      </c>
      <c r="L32" s="3">
        <f>C32+F32+I32</f>
        <v/>
      </c>
      <c r="M32" s="6">
        <f>IF(K32=0, "N/A", (L32-K32)/K32)</f>
        <v/>
      </c>
    </row>
    <row r="33">
      <c r="A33" s="2" t="inlineStr">
        <is>
          <t>Bermudas</t>
        </is>
      </c>
      <c r="B33" s="3" t="n"/>
      <c r="C33" s="3" t="n"/>
      <c r="D33" s="6">
        <f>IF(B33=0, "N/A", (C33-B33)/B33)</f>
        <v/>
      </c>
      <c r="E33" s="3" t="n">
        <v>1</v>
      </c>
      <c r="F33" s="3" t="n"/>
      <c r="G33" s="6">
        <f>IF(E33=0, "N/A", (F33-E33)/E33)</f>
        <v/>
      </c>
      <c r="H33" s="3" t="n">
        <v>1</v>
      </c>
      <c r="I33" s="3" t="n"/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Boxer</t>
        </is>
      </c>
      <c r="B34" s="3" t="n">
        <v>55</v>
      </c>
      <c r="C34" s="3" t="n">
        <v>38</v>
      </c>
      <c r="D34" s="6">
        <f>IF(B34=0, "N/A", (C34-B34)/B34)</f>
        <v/>
      </c>
      <c r="E34" s="3" t="n">
        <v>35</v>
      </c>
      <c r="F34" s="3" t="n">
        <v>36</v>
      </c>
      <c r="G34" s="6">
        <f>IF(E34=0, "N/A", (F34-E34)/E34)</f>
        <v/>
      </c>
      <c r="H34" s="3" t="n">
        <v>138</v>
      </c>
      <c r="I34" s="3" t="n">
        <v>136</v>
      </c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Buzo C Capucha Rustico</t>
        </is>
      </c>
      <c r="B35" s="3" t="n">
        <v>1</v>
      </c>
      <c r="C35" s="3" t="n"/>
      <c r="D35" s="6">
        <f>IF(B35=0, "N/A", (C35-B35)/B35)</f>
        <v/>
      </c>
      <c r="E35" s="3" t="n"/>
      <c r="F35" s="3" t="n"/>
      <c r="G35" s="6">
        <f>IF(E35=0, "N/A", (F35-E35)/E35)</f>
        <v/>
      </c>
      <c r="H35" s="3" t="n"/>
      <c r="I35" s="3" t="n"/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 Cuello Redondo</t>
        </is>
      </c>
      <c r="B36" s="3" t="n">
        <v>84</v>
      </c>
      <c r="C36" s="3" t="n">
        <v>83</v>
      </c>
      <c r="D36" s="6">
        <f>IF(B36=0, "N/A", (C36-B36)/B36)</f>
        <v/>
      </c>
      <c r="E36" s="3" t="n">
        <v>96</v>
      </c>
      <c r="F36" s="3" t="n">
        <v>173</v>
      </c>
      <c r="G36" s="6">
        <f>IF(E36=0, "N/A", (F36-E36)/E36)</f>
        <v/>
      </c>
      <c r="H36" s="3" t="n">
        <v>259</v>
      </c>
      <c r="I36" s="3" t="n">
        <v>445</v>
      </c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Buzos C Capucha</t>
        </is>
      </c>
      <c r="B37" s="3" t="n">
        <v>89</v>
      </c>
      <c r="C37" s="3" t="n">
        <v>55</v>
      </c>
      <c r="D37" s="6">
        <f>IF(B37=0, "N/A", (C37-B37)/B37)</f>
        <v/>
      </c>
      <c r="E37" s="3" t="n">
        <v>128</v>
      </c>
      <c r="F37" s="3" t="n">
        <v>52</v>
      </c>
      <c r="G37" s="6">
        <f>IF(E37=0, "N/A", (F37-E37)/E37)</f>
        <v/>
      </c>
      <c r="H37" s="3" t="n">
        <v>252</v>
      </c>
      <c r="I37" s="3" t="n">
        <v>210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Buzos C Capucha Orangutan</t>
        </is>
      </c>
      <c r="B38" s="3" t="n"/>
      <c r="C38" s="3" t="n">
        <v>13</v>
      </c>
      <c r="D38" s="6">
        <f>IF(B38=0, "N/A", (C38-B38)/B38)</f>
        <v/>
      </c>
      <c r="E38" s="3" t="n"/>
      <c r="F38" s="3" t="n">
        <v>27</v>
      </c>
      <c r="G38" s="6">
        <f>IF(E38=0, "N/A", (F38-E38)/E38)</f>
        <v/>
      </c>
      <c r="H38" s="3" t="n"/>
      <c r="I38" s="3" t="n">
        <v>106</v>
      </c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Buzos C Redondo Orangutan</t>
        </is>
      </c>
      <c r="B39" s="3" t="n"/>
      <c r="C39" s="3" t="n">
        <v>32</v>
      </c>
      <c r="D39" s="6">
        <f>IF(B39=0, "N/A", (C39-B39)/B39)</f>
        <v/>
      </c>
      <c r="E39" s="3" t="n"/>
      <c r="F39" s="3" t="n">
        <v>20</v>
      </c>
      <c r="G39" s="6">
        <f>IF(E39=0, "N/A", (F39-E39)/E39)</f>
        <v/>
      </c>
      <c r="H39" s="3" t="n"/>
      <c r="I39" s="3" t="n">
        <v>118</v>
      </c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Buzos Medio Cierre</t>
        </is>
      </c>
      <c r="B40" s="3" t="n">
        <v>13</v>
      </c>
      <c r="C40" s="3" t="n">
        <v>20</v>
      </c>
      <c r="D40" s="6">
        <f>IF(B40=0, "N/A", (C40-B40)/B40)</f>
        <v/>
      </c>
      <c r="E40" s="3" t="n">
        <v>10</v>
      </c>
      <c r="F40" s="3" t="n">
        <v>22</v>
      </c>
      <c r="G40" s="6">
        <f>IF(E40=0, "N/A", (F40-E40)/E40)</f>
        <v/>
      </c>
      <c r="H40" s="3" t="n">
        <v>225</v>
      </c>
      <c r="I40" s="3" t="n">
        <v>82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Calzado</t>
        </is>
      </c>
      <c r="B41" s="3" t="n"/>
      <c r="C41" s="3" t="n"/>
      <c r="D41" s="6">
        <f>IF(B41=0, "N/A", (C41-B41)/B41)</f>
        <v/>
      </c>
      <c r="E41" s="3" t="n"/>
      <c r="F41" s="3" t="n"/>
      <c r="G41" s="6">
        <f>IF(E41=0, "N/A", (F41-E41)/E41)</f>
        <v/>
      </c>
      <c r="H41" s="3" t="n">
        <v>2</v>
      </c>
      <c r="I41" s="3" t="n"/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Camisas</t>
        </is>
      </c>
      <c r="B42" s="3" t="n">
        <v>6</v>
      </c>
      <c r="C42" s="3" t="n">
        <v>3</v>
      </c>
      <c r="D42" s="6">
        <f>IF(B42=0, "N/A", (C42-B42)/B42)</f>
        <v/>
      </c>
      <c r="E42" s="3" t="n">
        <v>6</v>
      </c>
      <c r="F42" s="3" t="n">
        <v>4</v>
      </c>
      <c r="G42" s="6">
        <f>IF(E42=0, "N/A", (F42-E42)/E42)</f>
        <v/>
      </c>
      <c r="H42" s="3" t="n">
        <v>20</v>
      </c>
      <c r="I42" s="3" t="n">
        <v>5</v>
      </c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Camisetas Manga Larga</t>
        </is>
      </c>
      <c r="B43" s="3" t="n">
        <v>108</v>
      </c>
      <c r="C43" s="3" t="n">
        <v>45</v>
      </c>
      <c r="D43" s="6">
        <f>IF(B43=0, "N/A", (C43-B43)/B43)</f>
        <v/>
      </c>
      <c r="E43" s="3" t="n">
        <v>142</v>
      </c>
      <c r="F43" s="3" t="n">
        <v>39</v>
      </c>
      <c r="G43" s="6">
        <f>IF(E43=0, "N/A", (F43-E43)/E43)</f>
        <v/>
      </c>
      <c r="H43" s="3" t="n">
        <v>142</v>
      </c>
      <c r="I43" s="3" t="n">
        <v>106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Camisetas Manga Larga Orangutan</t>
        </is>
      </c>
      <c r="B44" s="3" t="n"/>
      <c r="C44" s="3" t="n">
        <v>13</v>
      </c>
      <c r="D44" s="6">
        <f>IF(B44=0, "N/A", (C44-B44)/B44)</f>
        <v/>
      </c>
      <c r="E44" s="3" t="n"/>
      <c r="F44" s="3" t="n">
        <v>14</v>
      </c>
      <c r="G44" s="6">
        <f>IF(E44=0, "N/A", (F44-E44)/E44)</f>
        <v/>
      </c>
      <c r="H44" s="3" t="n"/>
      <c r="I44" s="3" t="n">
        <v>211</v>
      </c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Campera Capucha Rustico</t>
        </is>
      </c>
      <c r="B45" s="3" t="n"/>
      <c r="C45" s="3" t="n"/>
      <c r="D45" s="6">
        <f>IF(B45=0, "N/A", (C45-B45)/B45)</f>
        <v/>
      </c>
      <c r="E45" s="3" t="n"/>
      <c r="F45" s="3" t="n"/>
      <c r="G45" s="6">
        <f>IF(E45=0, "N/A", (F45-E45)/E45)</f>
        <v/>
      </c>
      <c r="H45" s="3" t="n"/>
      <c r="I45" s="3" t="n">
        <v>3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Campera S Capucha</t>
        </is>
      </c>
      <c r="B46" s="3" t="n">
        <v>41</v>
      </c>
      <c r="C46" s="3" t="n">
        <v>5</v>
      </c>
      <c r="D46" s="6">
        <f>IF(B46=0, "N/A", (C46-B46)/B46)</f>
        <v/>
      </c>
      <c r="E46" s="3" t="n">
        <v>64</v>
      </c>
      <c r="F46" s="3" t="n">
        <v>10</v>
      </c>
      <c r="G46" s="6">
        <f>IF(E46=0, "N/A", (F46-E46)/E46)</f>
        <v/>
      </c>
      <c r="H46" s="3" t="n">
        <v>102</v>
      </c>
      <c r="I46" s="3" t="n">
        <v>45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Camperas Capucha</t>
        </is>
      </c>
      <c r="B47" s="3" t="n">
        <v>13</v>
      </c>
      <c r="C47" s="3" t="n">
        <v>44</v>
      </c>
      <c r="D47" s="6">
        <f>IF(B47=0, "N/A", (C47-B47)/B47)</f>
        <v/>
      </c>
      <c r="E47" s="3" t="n">
        <v>24</v>
      </c>
      <c r="F47" s="3" t="n">
        <v>46</v>
      </c>
      <c r="G47" s="6">
        <f>IF(E47=0, "N/A", (F47-E47)/E47)</f>
        <v/>
      </c>
      <c r="H47" s="3" t="n">
        <v>199</v>
      </c>
      <c r="I47" s="3" t="n">
        <v>133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Camperas De Abrigo</t>
        </is>
      </c>
      <c r="B48" s="3" t="n">
        <v>36</v>
      </c>
      <c r="C48" s="3" t="n">
        <v>20</v>
      </c>
      <c r="D48" s="6">
        <f>IF(B48=0, "N/A", (C48-B48)/B48)</f>
        <v/>
      </c>
      <c r="E48" s="3" t="n">
        <v>23</v>
      </c>
      <c r="F48" s="3" t="n">
        <v>17</v>
      </c>
      <c r="G48" s="6">
        <f>IF(E48=0, "N/A", (F48-E48)/E48)</f>
        <v/>
      </c>
      <c r="H48" s="3" t="n">
        <v>59</v>
      </c>
      <c r="I48" s="3" t="n">
        <v>45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Chombas</t>
        </is>
      </c>
      <c r="B49" s="3" t="n">
        <v>18</v>
      </c>
      <c r="C49" s="3" t="n">
        <v>6</v>
      </c>
      <c r="D49" s="6">
        <f>IF(B49=0, "N/A", (C49-B49)/B49)</f>
        <v/>
      </c>
      <c r="E49" s="3" t="n">
        <v>12</v>
      </c>
      <c r="F49" s="3" t="n">
        <v>12</v>
      </c>
      <c r="G49" s="6">
        <f>IF(E49=0, "N/A", (F49-E49)/E49)</f>
        <v/>
      </c>
      <c r="H49" s="3" t="n">
        <v>55</v>
      </c>
      <c r="I49" s="3" t="n">
        <v>16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Chombas Manga Larga</t>
        </is>
      </c>
      <c r="B50" s="3" t="n"/>
      <c r="C50" s="3" t="n">
        <v>10</v>
      </c>
      <c r="D50" s="6">
        <f>IF(B50=0, "N/A", (C50-B50)/B50)</f>
        <v/>
      </c>
      <c r="E50" s="3" t="n"/>
      <c r="F50" s="3" t="n">
        <v>8</v>
      </c>
      <c r="G50" s="6">
        <f>IF(E50=0, "N/A", (F50-E50)/E50)</f>
        <v/>
      </c>
      <c r="H50" s="3" t="n">
        <v>22</v>
      </c>
      <c r="I50" s="3" t="n">
        <v>10</v>
      </c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Jeans</t>
        </is>
      </c>
      <c r="B51" s="3" t="n">
        <v>96</v>
      </c>
      <c r="C51" s="3" t="n">
        <v>91</v>
      </c>
      <c r="D51" s="6">
        <f>IF(B51=0, "N/A", (C51-B51)/B51)</f>
        <v/>
      </c>
      <c r="E51" s="3" t="n">
        <v>92</v>
      </c>
      <c r="F51" s="3" t="n">
        <v>101</v>
      </c>
      <c r="G51" s="6">
        <f>IF(E51=0, "N/A", (F51-E51)/E51)</f>
        <v/>
      </c>
      <c r="H51" s="3" t="n">
        <v>321</v>
      </c>
      <c r="I51" s="3" t="n">
        <v>480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Jogging</t>
        </is>
      </c>
      <c r="B52" s="3" t="n">
        <v>51</v>
      </c>
      <c r="C52" s="3" t="n">
        <v>46</v>
      </c>
      <c r="D52" s="6">
        <f>IF(B52=0, "N/A", (C52-B52)/B52)</f>
        <v/>
      </c>
      <c r="E52" s="3" t="n">
        <v>40</v>
      </c>
      <c r="F52" s="3" t="n">
        <v>38</v>
      </c>
      <c r="G52" s="6">
        <f>IF(E52=0, "N/A", (F52-E52)/E52)</f>
        <v/>
      </c>
      <c r="H52" s="3" t="n">
        <v>145</v>
      </c>
      <c r="I52" s="3" t="n">
        <v>160</v>
      </c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Otro</t>
        </is>
      </c>
      <c r="B53" s="3" t="n"/>
      <c r="C53" s="3" t="n"/>
      <c r="D53" s="6">
        <f>IF(B53=0, "N/A", (C53-B53)/B53)</f>
        <v/>
      </c>
      <c r="E53" s="3" t="n">
        <v>3</v>
      </c>
      <c r="F53" s="3" t="n"/>
      <c r="G53" s="6">
        <f>IF(E53=0, "N/A", (F53-E53)/E53)</f>
        <v/>
      </c>
      <c r="H53" s="3" t="n"/>
      <c r="I53" s="3" t="n"/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Remeras</t>
        </is>
      </c>
      <c r="B54" s="3" t="n">
        <v>123</v>
      </c>
      <c r="C54" s="3" t="n">
        <v>62</v>
      </c>
      <c r="D54" s="6">
        <f>IF(B54=0, "N/A", (C54-B54)/B54)</f>
        <v/>
      </c>
      <c r="E54" s="3" t="n">
        <v>184</v>
      </c>
      <c r="F54" s="3" t="n">
        <v>94</v>
      </c>
      <c r="G54" s="6">
        <f>IF(E54=0, "N/A", (F54-E54)/E54)</f>
        <v/>
      </c>
      <c r="H54" s="3" t="n">
        <v>404</v>
      </c>
      <c r="I54" s="3" t="n">
        <v>219</v>
      </c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2" t="inlineStr">
        <is>
          <t>Sweaters</t>
        </is>
      </c>
      <c r="B55" s="3" t="n">
        <v>37</v>
      </c>
      <c r="C55" s="3" t="n">
        <v>39</v>
      </c>
      <c r="D55" s="6">
        <f>IF(B55=0, "N/A", (C55-B55)/B55)</f>
        <v/>
      </c>
      <c r="E55" s="3" t="n">
        <v>79</v>
      </c>
      <c r="F55" s="3" t="n">
        <v>54</v>
      </c>
      <c r="G55" s="6">
        <f>IF(E55=0, "N/A", (F55-E55)/E55)</f>
        <v/>
      </c>
      <c r="H55" s="3" t="n">
        <v>45</v>
      </c>
      <c r="I55" s="3" t="n">
        <v>53</v>
      </c>
      <c r="J55" s="6">
        <f>IF(H55=0, "N/A", (I55-H55)/H55)</f>
        <v/>
      </c>
      <c r="K55" s="3">
        <f>B55+E55+H55</f>
        <v/>
      </c>
      <c r="L55" s="3">
        <f>C55+F55+I55</f>
        <v/>
      </c>
      <c r="M55" s="6">
        <f>IF(K55=0, "N/A", (L55-K55)/K55)</f>
        <v/>
      </c>
    </row>
    <row r="56">
      <c r="A56" s="2" t="inlineStr">
        <is>
          <t>Trajes De Baño</t>
        </is>
      </c>
      <c r="B56" s="3" t="n">
        <v>1</v>
      </c>
      <c r="C56" s="3" t="n"/>
      <c r="D56" s="6">
        <f>IF(B56=0, "N/A", (C56-B56)/B56)</f>
        <v/>
      </c>
      <c r="E56" s="3" t="n"/>
      <c r="F56" s="3" t="n"/>
      <c r="G56" s="6">
        <f>IF(E56=0, "N/A", (F56-E56)/E56)</f>
        <v/>
      </c>
      <c r="H56" s="3" t="n"/>
      <c r="I56" s="3" t="n"/>
      <c r="J56" s="6">
        <f>IF(H56=0, "N/A", (I56-H56)/H56)</f>
        <v/>
      </c>
      <c r="K56" s="3">
        <f>B56+E56+H56</f>
        <v/>
      </c>
      <c r="L56" s="3">
        <f>C56+F56+I56</f>
        <v/>
      </c>
      <c r="M56" s="6">
        <f>IF(K56=0, "N/A", (L56-K56)/K56)</f>
        <v/>
      </c>
    </row>
    <row r="57">
      <c r="A57" s="5" t="inlineStr">
        <is>
          <t>Totals</t>
        </is>
      </c>
      <c r="B57" s="4">
        <f>SUM($B32:$B56)</f>
        <v/>
      </c>
      <c r="C57" s="4">
        <f>SUM($C32:$C56)</f>
        <v/>
      </c>
      <c r="D57" s="7">
        <f>IF(B57=0, "N/A", (C57-B57)/B57)</f>
        <v/>
      </c>
      <c r="E57" s="4">
        <f>SUM($E32:$E56)</f>
        <v/>
      </c>
      <c r="F57" s="4">
        <f>SUM($F32:$F56)</f>
        <v/>
      </c>
      <c r="G57" s="7">
        <f>IF(E57=0, "N/A", (F57-E57)/E57)</f>
        <v/>
      </c>
      <c r="H57" s="4">
        <f>SUM($H32:$H56)</f>
        <v/>
      </c>
      <c r="I57" s="4">
        <f>SUM($I32:$I56)</f>
        <v/>
      </c>
      <c r="J57" s="7">
        <f>IF(H57=0, "N/A", (I57-H57)/H57)</f>
        <v/>
      </c>
      <c r="K57" s="4">
        <f>SUM($K32:$K56)</f>
        <v/>
      </c>
      <c r="L57" s="4">
        <f>SUM($L32:$L56)</f>
        <v/>
      </c>
      <c r="M57" s="7">
        <f>IF(K57=0, "N/A", (L57-K57)/K57)</f>
        <v/>
      </c>
    </row>
    <row r="60">
      <c r="A60" s="1" t="inlineStr">
        <is>
          <t>YoY Units Sold Comparison - Branch Group 2</t>
        </is>
      </c>
    </row>
    <row r="61">
      <c r="B61" s="1" t="inlineStr">
        <is>
          <t>VIRREYES</t>
        </is>
      </c>
      <c r="C61" s="1" t="n"/>
      <c r="D61" s="1" t="n"/>
    </row>
    <row r="62">
      <c r="A62" s="1" t="inlineStr">
        <is>
          <t>Familias</t>
        </is>
      </c>
      <c r="B62" s="1" t="n">
        <v>2025</v>
      </c>
      <c r="C62" s="1" t="n">
        <v>2026</v>
      </c>
      <c r="D62" s="1" t="inlineStr">
        <is>
          <t>%</t>
        </is>
      </c>
    </row>
    <row r="63">
      <c r="A63" s="2" t="inlineStr">
        <is>
          <t>Accesorios</t>
        </is>
      </c>
      <c r="B63" s="3" t="n">
        <v>7</v>
      </c>
      <c r="C63" s="3" t="n">
        <v>3</v>
      </c>
      <c r="D63" s="6">
        <f>IF(B63=0, "N/A", (C63-B63)/B63)</f>
        <v/>
      </c>
    </row>
    <row r="64">
      <c r="A64" s="2" t="inlineStr">
        <is>
          <t>Boxer</t>
        </is>
      </c>
      <c r="B64" s="3" t="n">
        <v>8</v>
      </c>
      <c r="C64" s="3" t="n">
        <v>1</v>
      </c>
      <c r="D64" s="6">
        <f>IF(B64=0, "N/A", (C64-B64)/B64)</f>
        <v/>
      </c>
    </row>
    <row r="65">
      <c r="A65" s="2" t="inlineStr">
        <is>
          <t>Buzo Cuello Redondo</t>
        </is>
      </c>
      <c r="B65" s="3" t="n">
        <v>32</v>
      </c>
      <c r="C65" s="3" t="n">
        <v>2</v>
      </c>
      <c r="D65" s="6">
        <f>IF(B65=0, "N/A", (C65-B65)/B65)</f>
        <v/>
      </c>
    </row>
    <row r="66">
      <c r="A66" s="2" t="inlineStr">
        <is>
          <t>Buzos C Capucha</t>
        </is>
      </c>
      <c r="B66" s="3" t="n">
        <v>20</v>
      </c>
      <c r="C66" s="3" t="n">
        <v>3</v>
      </c>
      <c r="D66" s="6">
        <f>IF(B66=0, "N/A", (C66-B66)/B66)</f>
        <v/>
      </c>
    </row>
    <row r="67">
      <c r="A67" s="2" t="inlineStr">
        <is>
          <t>Buzos C Capucha Orangutan</t>
        </is>
      </c>
      <c r="B67" s="3" t="n"/>
      <c r="C67" s="3" t="n">
        <v>15</v>
      </c>
      <c r="D67" s="6">
        <f>IF(B67=0, "N/A", (C67-B67)/B67)</f>
        <v/>
      </c>
    </row>
    <row r="68">
      <c r="A68" s="2" t="inlineStr">
        <is>
          <t>Buzos C Redondo Orangutan</t>
        </is>
      </c>
      <c r="B68" s="3" t="n"/>
      <c r="C68" s="3" t="n">
        <v>6</v>
      </c>
      <c r="D68" s="6">
        <f>IF(B68=0, "N/A", (C68-B68)/B68)</f>
        <v/>
      </c>
    </row>
    <row r="69">
      <c r="A69" s="2" t="inlineStr">
        <is>
          <t>Buzos Medio Cierre</t>
        </is>
      </c>
      <c r="B69" s="3" t="n">
        <v>4</v>
      </c>
      <c r="C69" s="3" t="n"/>
      <c r="D69" s="6">
        <f>IF(B69=0, "N/A", (C69-B69)/B69)</f>
        <v/>
      </c>
    </row>
    <row r="70">
      <c r="A70" s="2" t="inlineStr">
        <is>
          <t>Calzado</t>
        </is>
      </c>
      <c r="B70" s="3" t="n">
        <v>1</v>
      </c>
      <c r="C70" s="3" t="n">
        <v>1</v>
      </c>
      <c r="D70" s="6">
        <f>IF(B70=0, "N/A", (C70-B70)/B70)</f>
        <v/>
      </c>
    </row>
    <row r="71">
      <c r="A71" s="2" t="inlineStr">
        <is>
          <t>Camisetas Manga Larga</t>
        </is>
      </c>
      <c r="B71" s="3" t="n">
        <v>26</v>
      </c>
      <c r="C71" s="3" t="n"/>
      <c r="D71" s="6">
        <f>IF(B71=0, "N/A", (C71-B71)/B71)</f>
        <v/>
      </c>
    </row>
    <row r="72">
      <c r="A72" s="2" t="inlineStr">
        <is>
          <t>Camisetas Manga Larga Orangutan</t>
        </is>
      </c>
      <c r="B72" s="3" t="n"/>
      <c r="C72" s="3" t="n">
        <v>7</v>
      </c>
      <c r="D72" s="6">
        <f>IF(B72=0, "N/A", (C72-B72)/B72)</f>
        <v/>
      </c>
    </row>
    <row r="73">
      <c r="A73" s="2" t="inlineStr">
        <is>
          <t>Campera S Capucha</t>
        </is>
      </c>
      <c r="B73" s="3" t="n">
        <v>1</v>
      </c>
      <c r="C73" s="3" t="n">
        <v>1</v>
      </c>
      <c r="D73" s="6">
        <f>IF(B73=0, "N/A", (C73-B73)/B73)</f>
        <v/>
      </c>
    </row>
    <row r="74">
      <c r="A74" s="2" t="inlineStr">
        <is>
          <t>Camperas Capucha</t>
        </is>
      </c>
      <c r="B74" s="3" t="n">
        <v>6</v>
      </c>
      <c r="C74" s="3" t="n">
        <v>2</v>
      </c>
      <c r="D74" s="6">
        <f>IF(B74=0, "N/A", (C74-B74)/B74)</f>
        <v/>
      </c>
    </row>
    <row r="75">
      <c r="A75" s="2" t="inlineStr">
        <is>
          <t>Camperas De Abrigo</t>
        </is>
      </c>
      <c r="B75" s="3" t="n">
        <v>13</v>
      </c>
      <c r="C75" s="3" t="n">
        <v>5</v>
      </c>
      <c r="D75" s="6">
        <f>IF(B75=0, "N/A", (C75-B75)/B75)</f>
        <v/>
      </c>
    </row>
    <row r="76">
      <c r="A76" s="2" t="inlineStr">
        <is>
          <t>Chombas</t>
        </is>
      </c>
      <c r="B76" s="3" t="n"/>
      <c r="C76" s="3" t="n">
        <v>1</v>
      </c>
      <c r="D76" s="6">
        <f>IF(B76=0, "N/A", (C76-B76)/B76)</f>
        <v/>
      </c>
    </row>
    <row r="77">
      <c r="A77" s="2" t="inlineStr">
        <is>
          <t>Jeans</t>
        </is>
      </c>
      <c r="B77" s="3" t="n">
        <v>12</v>
      </c>
      <c r="C77" s="3" t="n">
        <v>15</v>
      </c>
      <c r="D77" s="6">
        <f>IF(B77=0, "N/A", (C77-B77)/B77)</f>
        <v/>
      </c>
    </row>
    <row r="78">
      <c r="A78" s="2" t="inlineStr">
        <is>
          <t>Jogging</t>
        </is>
      </c>
      <c r="B78" s="3" t="n">
        <v>16</v>
      </c>
      <c r="C78" s="3" t="n">
        <v>12</v>
      </c>
      <c r="D78" s="6">
        <f>IF(B78=0, "N/A", (C78-B78)/B78)</f>
        <v/>
      </c>
    </row>
    <row r="79">
      <c r="A79" s="2" t="inlineStr">
        <is>
          <t>Otro</t>
        </is>
      </c>
      <c r="B79" s="3" t="n">
        <v>4</v>
      </c>
      <c r="C79" s="3" t="n">
        <v>2</v>
      </c>
      <c r="D79" s="6">
        <f>IF(B79=0, "N/A", (C79-B79)/B79)</f>
        <v/>
      </c>
    </row>
    <row r="80">
      <c r="A80" s="2" t="inlineStr">
        <is>
          <t>Remeras</t>
        </is>
      </c>
      <c r="B80" s="3" t="n">
        <v>19</v>
      </c>
      <c r="C80" s="3" t="n">
        <v>17</v>
      </c>
      <c r="D80" s="6">
        <f>IF(B80=0, "N/A", (C80-B80)/B80)</f>
        <v/>
      </c>
    </row>
    <row r="81">
      <c r="A81" s="2" t="inlineStr">
        <is>
          <t>Sweaters</t>
        </is>
      </c>
      <c r="B81" s="3" t="n">
        <v>5</v>
      </c>
      <c r="C81" s="3" t="n"/>
      <c r="D81" s="6">
        <f>IF(B81=0, "N/A", (C81-B81)/B81)</f>
        <v/>
      </c>
    </row>
    <row r="82">
      <c r="A82" s="5" t="inlineStr">
        <is>
          <t>Totals</t>
        </is>
      </c>
      <c r="B82" s="4">
        <f>SUM($B63:$B81)</f>
        <v/>
      </c>
      <c r="C82" s="4">
        <f>SUM($C63:$C81)</f>
        <v/>
      </c>
      <c r="D82" s="7">
        <f>IF(B82=0, "N/A", (C82-B82)/B82)</f>
        <v/>
      </c>
    </row>
    <row r="85">
      <c r="A85" s="1" t="inlineStr">
        <is>
          <t>Sales Amount from June 01, 2026 to June 30, 2026</t>
        </is>
      </c>
    </row>
    <row r="86">
      <c r="A86" s="1" t="inlineStr">
        <is>
          <t>Familias</t>
        </is>
      </c>
      <c r="B86" s="1" t="inlineStr">
        <is>
          <t>LIBERT.R</t>
        </is>
      </c>
      <c r="C86" s="1" t="inlineStr">
        <is>
          <t>PASO.R</t>
        </is>
      </c>
      <c r="D86" s="1" t="inlineStr">
        <is>
          <t>P.OESTE</t>
        </is>
      </c>
      <c r="E86" s="1" t="inlineStr">
        <is>
          <t>VIRREYES</t>
        </is>
      </c>
      <c r="F86" s="1" t="inlineStr">
        <is>
          <t>Totals</t>
        </is>
      </c>
    </row>
    <row r="87">
      <c r="A87" s="2" t="inlineStr">
        <is>
          <t>Accesorios</t>
        </is>
      </c>
      <c r="B87" s="8" t="n">
        <v>940604.2868</v>
      </c>
      <c r="C87" s="8" t="n">
        <v>1271559.9486</v>
      </c>
      <c r="D87" s="8" t="n">
        <v>2819408.8338</v>
      </c>
      <c r="E87" s="8" t="n">
        <v>80900</v>
      </c>
      <c r="F87" s="9">
        <f>B87+C87+D87+E87</f>
        <v/>
      </c>
    </row>
    <row r="88">
      <c r="A88" s="2" t="inlineStr">
        <is>
          <t>Boxer</t>
        </is>
      </c>
      <c r="B88" s="8" t="n">
        <v>529687.9795</v>
      </c>
      <c r="C88" s="8" t="n">
        <v>531236.367</v>
      </c>
      <c r="D88" s="8" t="n">
        <v>1995354.1091</v>
      </c>
      <c r="E88" s="8" t="n">
        <v>14500</v>
      </c>
      <c r="F88" s="9">
        <f>B88+C88+D88+E88</f>
        <v/>
      </c>
    </row>
    <row r="89">
      <c r="A89" s="2" t="inlineStr">
        <is>
          <t>Buzo C Capucha Rustico</t>
        </is>
      </c>
      <c r="B89" s="8" t="n"/>
      <c r="C89" s="8" t="n"/>
      <c r="D89" s="8" t="n"/>
      <c r="E89" s="8" t="n"/>
      <c r="F89" s="9">
        <f>B89+C89+D89+E89</f>
        <v/>
      </c>
    </row>
    <row r="90">
      <c r="A90" s="2" t="inlineStr">
        <is>
          <t>Buzo Cuello Redondo</t>
        </is>
      </c>
      <c r="B90" s="8" t="n">
        <v>3735534.529</v>
      </c>
      <c r="C90" s="8" t="n">
        <v>8428018.557600001</v>
      </c>
      <c r="D90" s="8" t="n">
        <v>22436573.017</v>
      </c>
      <c r="E90" s="8" t="n">
        <v>64599.9992</v>
      </c>
      <c r="F90" s="9">
        <f>B90+C90+D90+E90</f>
        <v/>
      </c>
    </row>
    <row r="91">
      <c r="A91" s="2" t="inlineStr">
        <is>
          <t>Buzos C Capucha</t>
        </is>
      </c>
      <c r="B91" s="8" t="n">
        <v>3098377.5893</v>
      </c>
      <c r="C91" s="8" t="n">
        <v>2969086.9854</v>
      </c>
      <c r="D91" s="8" t="n">
        <v>12684314.7464</v>
      </c>
      <c r="E91" s="8" t="n">
        <v>140700</v>
      </c>
      <c r="F91" s="9">
        <f>B91+C91+D91+E91</f>
        <v/>
      </c>
    </row>
    <row r="92">
      <c r="A92" s="2" t="inlineStr">
        <is>
          <t>Buzos C Capucha Orangutan</t>
        </is>
      </c>
      <c r="B92" s="8" t="n">
        <v>674938.464</v>
      </c>
      <c r="C92" s="8" t="n">
        <v>1393822.4633</v>
      </c>
      <c r="D92" s="8" t="n">
        <v>5551588.7324</v>
      </c>
      <c r="E92" s="8" t="n">
        <v>718560</v>
      </c>
      <c r="F92" s="9">
        <f>B92+C92+D92+E92</f>
        <v/>
      </c>
    </row>
    <row r="93">
      <c r="A93" s="2" t="inlineStr">
        <is>
          <t>Buzos C Redondo Orangutan</t>
        </is>
      </c>
      <c r="B93" s="8" t="n">
        <v>1254825.6397</v>
      </c>
      <c r="C93" s="8" t="n">
        <v>778130</v>
      </c>
      <c r="D93" s="8" t="n">
        <v>4684690.2902</v>
      </c>
      <c r="E93" s="8" t="n">
        <v>229510</v>
      </c>
      <c r="F93" s="9">
        <f>B93+C93+D93+E93</f>
        <v/>
      </c>
    </row>
    <row r="94">
      <c r="A94" s="2" t="inlineStr">
        <is>
          <t>Buzos Medio Cierre</t>
        </is>
      </c>
      <c r="B94" s="8" t="n">
        <v>1026857.4176</v>
      </c>
      <c r="C94" s="8" t="n">
        <v>1051919.7714</v>
      </c>
      <c r="D94" s="8" t="n">
        <v>3725173.4666</v>
      </c>
      <c r="E94" s="8" t="n"/>
      <c r="F94" s="9">
        <f>B94+C94+D94+E94</f>
        <v/>
      </c>
    </row>
    <row r="95">
      <c r="A95" s="2" t="inlineStr">
        <is>
          <t>Calzado</t>
        </is>
      </c>
      <c r="B95" s="8" t="n"/>
      <c r="C95" s="8" t="n"/>
      <c r="D95" s="8" t="n"/>
      <c r="E95" s="8" t="n">
        <v>25300</v>
      </c>
      <c r="F95" s="9">
        <f>B95+C95+D95+E95</f>
        <v/>
      </c>
    </row>
    <row r="96">
      <c r="A96" s="2" t="inlineStr">
        <is>
          <t>Camisas</t>
        </is>
      </c>
      <c r="B96" s="8" t="n">
        <v>99910</v>
      </c>
      <c r="C96" s="8" t="n">
        <v>217780</v>
      </c>
      <c r="D96" s="8" t="n">
        <v>214700</v>
      </c>
      <c r="E96" s="8" t="n"/>
      <c r="F96" s="9">
        <f>B96+C96+D96+E96</f>
        <v/>
      </c>
    </row>
    <row r="97">
      <c r="A97" s="2" t="inlineStr">
        <is>
          <t>Camisetas Manga Larga</t>
        </is>
      </c>
      <c r="B97" s="8" t="n">
        <v>1207317.3168</v>
      </c>
      <c r="C97" s="8" t="n">
        <v>1073047.7227</v>
      </c>
      <c r="D97" s="8" t="n">
        <v>2638127.8865</v>
      </c>
      <c r="E97" s="8" t="n"/>
      <c r="F97" s="9">
        <f>B97+C97+D97+E97</f>
        <v/>
      </c>
    </row>
    <row r="98">
      <c r="A98" s="2" t="inlineStr">
        <is>
          <t>Camisetas Manga Larga Orangutan</t>
        </is>
      </c>
      <c r="B98" s="8" t="n">
        <v>315917.2744</v>
      </c>
      <c r="C98" s="8" t="n">
        <v>338947.4225</v>
      </c>
      <c r="D98" s="8" t="n">
        <v>5163957.9291</v>
      </c>
      <c r="E98" s="8" t="n">
        <v>139120</v>
      </c>
      <c r="F98" s="9">
        <f>B98+C98+D98+E98</f>
        <v/>
      </c>
    </row>
    <row r="99">
      <c r="A99" s="2" t="inlineStr">
        <is>
          <t>Campera Capucha Rustico</t>
        </is>
      </c>
      <c r="B99" s="8" t="n"/>
      <c r="C99" s="8" t="n"/>
      <c r="D99" s="8" t="n">
        <v>173970.2804</v>
      </c>
      <c r="E99" s="8" t="n"/>
      <c r="F99" s="9">
        <f>B99+C99+D99+E99</f>
        <v/>
      </c>
    </row>
    <row r="100">
      <c r="A100" s="2" t="inlineStr">
        <is>
          <t>Campera S Capucha</t>
        </is>
      </c>
      <c r="B100" s="8" t="n">
        <v>350800.0019</v>
      </c>
      <c r="C100" s="8" t="n">
        <v>603200</v>
      </c>
      <c r="D100" s="8" t="n">
        <v>3192986.0631</v>
      </c>
      <c r="E100" s="8" t="n">
        <v>36900</v>
      </c>
      <c r="F100" s="9">
        <f>B100+C100+D100+E100</f>
        <v/>
      </c>
    </row>
    <row r="101">
      <c r="A101" s="2" t="inlineStr">
        <is>
          <t>Camperas Capucha</t>
        </is>
      </c>
      <c r="B101" s="8" t="n">
        <v>2705817.0909</v>
      </c>
      <c r="C101" s="8" t="n">
        <v>2939407.5855</v>
      </c>
      <c r="D101" s="8" t="n">
        <v>9193850</v>
      </c>
      <c r="E101" s="8" t="n">
        <v>99800</v>
      </c>
      <c r="F101" s="9">
        <f>B101+C101+D101+E101</f>
        <v/>
      </c>
    </row>
    <row r="102">
      <c r="A102" s="2" t="inlineStr">
        <is>
          <t>Camperas De Abrigo</t>
        </is>
      </c>
      <c r="B102" s="8" t="n">
        <v>1405900</v>
      </c>
      <c r="C102" s="8" t="n">
        <v>1114210</v>
      </c>
      <c r="D102" s="8" t="n">
        <v>3515092.7468</v>
      </c>
      <c r="E102" s="8" t="n">
        <v>295620</v>
      </c>
      <c r="F102" s="9">
        <f>B102+C102+D102+E102</f>
        <v/>
      </c>
    </row>
    <row r="103">
      <c r="A103" s="2" t="inlineStr">
        <is>
          <t>Chombas</t>
        </is>
      </c>
      <c r="B103" s="8" t="n">
        <v>197645.1442</v>
      </c>
      <c r="C103" s="8" t="n">
        <v>386791.1397</v>
      </c>
      <c r="D103" s="8" t="n">
        <v>595900</v>
      </c>
      <c r="E103" s="8" t="n">
        <v>19900</v>
      </c>
      <c r="F103" s="9">
        <f>B103+C103+D103+E103</f>
        <v/>
      </c>
    </row>
    <row r="104">
      <c r="A104" s="2" t="inlineStr">
        <is>
          <t>Chombas Manga Larga</t>
        </is>
      </c>
      <c r="B104" s="8" t="n">
        <v>337413.5265</v>
      </c>
      <c r="C104" s="8" t="n">
        <v>283167.0336</v>
      </c>
      <c r="D104" s="8" t="n">
        <v>325200</v>
      </c>
      <c r="E104" s="8" t="n"/>
      <c r="F104" s="9">
        <f>B104+C104+D104+E104</f>
        <v/>
      </c>
    </row>
    <row r="105">
      <c r="A105" s="2" t="inlineStr">
        <is>
          <t>Jeans</t>
        </is>
      </c>
      <c r="B105" s="8" t="n">
        <v>5419612.5429</v>
      </c>
      <c r="C105" s="8" t="n">
        <v>6088494.6082</v>
      </c>
      <c r="D105" s="8" t="n">
        <v>31622358.8715</v>
      </c>
      <c r="E105" s="8" t="n">
        <v>642500</v>
      </c>
      <c r="F105" s="9">
        <f>B105+C105+D105+E105</f>
        <v/>
      </c>
    </row>
    <row r="106">
      <c r="A106" s="2" t="inlineStr">
        <is>
          <t>Jogging</t>
        </is>
      </c>
      <c r="B106" s="8" t="n">
        <v>2510270.1741</v>
      </c>
      <c r="C106" s="8" t="n">
        <v>2120363.5616</v>
      </c>
      <c r="D106" s="8" t="n">
        <v>8866407.148700001</v>
      </c>
      <c r="E106" s="8" t="n">
        <v>406149.9992</v>
      </c>
      <c r="F106" s="9">
        <f>B106+C106+D106+E106</f>
        <v/>
      </c>
    </row>
    <row r="107">
      <c r="A107" s="2" t="inlineStr">
        <is>
          <t>Otro</t>
        </is>
      </c>
      <c r="B107" s="8" t="n"/>
      <c r="C107" s="8" t="n"/>
      <c r="D107" s="8" t="n"/>
      <c r="E107" s="8" t="n">
        <v>111800</v>
      </c>
      <c r="F107" s="9">
        <f>B107+C107+D107+E107</f>
        <v/>
      </c>
    </row>
    <row r="108">
      <c r="A108" s="2" t="inlineStr">
        <is>
          <t>Remeras</t>
        </is>
      </c>
      <c r="B108" s="8" t="n">
        <v>1509015.4466</v>
      </c>
      <c r="C108" s="8" t="n">
        <v>2345105.6597</v>
      </c>
      <c r="D108" s="8" t="n">
        <v>6042875.8784</v>
      </c>
      <c r="E108" s="8" t="n">
        <v>263110.0016</v>
      </c>
      <c r="F108" s="9">
        <f>B108+C108+D108+E108</f>
        <v/>
      </c>
    </row>
    <row r="109">
      <c r="A109" s="2" t="inlineStr">
        <is>
          <t>Sweaters</t>
        </is>
      </c>
      <c r="B109" s="8" t="n">
        <v>1739471.5757</v>
      </c>
      <c r="C109" s="8" t="n">
        <v>2407406.1732</v>
      </c>
      <c r="D109" s="8" t="n">
        <v>2786500</v>
      </c>
      <c r="E109" s="8" t="n"/>
      <c r="F109" s="9">
        <f>B109+C109+D109+E109</f>
        <v/>
      </c>
    </row>
    <row r="110">
      <c r="A110" s="5" t="inlineStr">
        <is>
          <t>Totals</t>
        </is>
      </c>
      <c r="B110" s="9">
        <f>SUM($B$87:$B$109)</f>
        <v/>
      </c>
      <c r="C110" s="9">
        <f>SUM($C$87:$C$109)</f>
        <v/>
      </c>
      <c r="D110" s="9">
        <f>SUM($D$87:$D$109)</f>
        <v/>
      </c>
      <c r="E110" s="9">
        <f>SUM($E$87:$E$109)</f>
        <v/>
      </c>
      <c r="F110" s="9">
        <f>SUM($F$87:$F$109)</f>
        <v/>
      </c>
    </row>
    <row r="113">
      <c r="A113" s="1" t="inlineStr">
        <is>
          <t>YoY Sales Amount Comparison - Branch Group 1</t>
        </is>
      </c>
    </row>
    <row r="114">
      <c r="B114" s="1" t="inlineStr">
        <is>
          <t>LIBERT.R</t>
        </is>
      </c>
      <c r="C114" s="1" t="n"/>
      <c r="D114" s="1" t="n"/>
      <c r="E114" s="1" t="inlineStr">
        <is>
          <t>PASO.R</t>
        </is>
      </c>
      <c r="F114" s="1" t="n"/>
      <c r="G114" s="1" t="n"/>
      <c r="H114" s="1" t="inlineStr">
        <is>
          <t>P.OESTE</t>
        </is>
      </c>
      <c r="I114" s="1" t="n"/>
      <c r="J114" s="1" t="n"/>
      <c r="K114" s="1" t="inlineStr">
        <is>
          <t>Global</t>
        </is>
      </c>
      <c r="L114" s="1" t="n"/>
      <c r="M114" s="1" t="n"/>
    </row>
    <row r="115">
      <c r="A115" s="1" t="inlineStr">
        <is>
          <t>Familias</t>
        </is>
      </c>
      <c r="B115" s="1" t="n">
        <v>2025</v>
      </c>
      <c r="C115" s="1" t="n">
        <v>2026</v>
      </c>
      <c r="D115" s="1" t="inlineStr">
        <is>
          <t>%</t>
        </is>
      </c>
      <c r="E115" s="1" t="n">
        <v>2025</v>
      </c>
      <c r="F115" s="1" t="n">
        <v>2026</v>
      </c>
      <c r="G115" s="1" t="inlineStr">
        <is>
          <t>%</t>
        </is>
      </c>
      <c r="H115" s="1" t="n">
        <v>2025</v>
      </c>
      <c r="I115" s="1" t="n">
        <v>2026</v>
      </c>
      <c r="J115" s="1" t="inlineStr">
        <is>
          <t>%</t>
        </is>
      </c>
      <c r="K115" s="1" t="n">
        <v>2025</v>
      </c>
      <c r="L115" s="1" t="n">
        <v>2026</v>
      </c>
      <c r="M115" s="1" t="inlineStr">
        <is>
          <t>%</t>
        </is>
      </c>
    </row>
    <row r="116">
      <c r="A116" s="2" t="inlineStr">
        <is>
          <t>Accesorios</t>
        </is>
      </c>
      <c r="B116" s="8" t="n">
        <v>1430011.2621</v>
      </c>
      <c r="C116" s="8" t="n">
        <v>940604.2868</v>
      </c>
      <c r="D116" s="6">
        <f>IF(B116=0, "N/A", (C116-B116)/B116)</f>
        <v/>
      </c>
      <c r="E116" s="8" t="n">
        <v>1422306.0073</v>
      </c>
      <c r="F116" s="8" t="n">
        <v>1271559.9486</v>
      </c>
      <c r="G116" s="6">
        <f>IF(E116=0, "N/A", (F116-E116)/E116)</f>
        <v/>
      </c>
      <c r="H116" s="8" t="n">
        <v>3790140.3533</v>
      </c>
      <c r="I116" s="8" t="n">
        <v>2819408.8338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Bermudas</t>
        </is>
      </c>
      <c r="B117" s="8" t="n"/>
      <c r="C117" s="8" t="n"/>
      <c r="D117" s="6">
        <f>IF(B117=0, "N/A", (C117-B117)/B117)</f>
        <v/>
      </c>
      <c r="E117" s="8" t="n">
        <v>62219.3998</v>
      </c>
      <c r="F117" s="8" t="n"/>
      <c r="G117" s="6">
        <f>IF(E117=0, "N/A", (F117-E117)/E117)</f>
        <v/>
      </c>
      <c r="H117" s="8" t="n">
        <v>34990</v>
      </c>
      <c r="I117" s="8" t="n"/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Boxer</t>
        </is>
      </c>
      <c r="B118" s="8" t="n">
        <v>736650.7681</v>
      </c>
      <c r="C118" s="8" t="n">
        <v>529687.9795</v>
      </c>
      <c r="D118" s="6">
        <f>IF(B118=0, "N/A", (C118-B118)/B118)</f>
        <v/>
      </c>
      <c r="E118" s="8" t="n">
        <v>473791.4803</v>
      </c>
      <c r="F118" s="8" t="n">
        <v>531236.367</v>
      </c>
      <c r="G118" s="6">
        <f>IF(E118=0, "N/A", (F118-E118)/E118)</f>
        <v/>
      </c>
      <c r="H118" s="8" t="n">
        <v>1863313.2758</v>
      </c>
      <c r="I118" s="8" t="n">
        <v>1995354.1091</v>
      </c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Buzo C Capucha Rustico</t>
        </is>
      </c>
      <c r="B119" s="8" t="n">
        <v>39999</v>
      </c>
      <c r="C119" s="8" t="n"/>
      <c r="D119" s="6">
        <f>IF(B119=0, "N/A", (C119-B119)/B119)</f>
        <v/>
      </c>
      <c r="E119" s="8" t="n"/>
      <c r="F119" s="8" t="n"/>
      <c r="G119" s="6">
        <f>IF(E119=0, "N/A", (F119-E119)/E119)</f>
        <v/>
      </c>
      <c r="H119" s="8" t="n"/>
      <c r="I119" s="8" t="n"/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Buzo Cuello Redondo</t>
        </is>
      </c>
      <c r="B120" s="8" t="n">
        <v>4127266.1165</v>
      </c>
      <c r="C120" s="8" t="n">
        <v>3735534.529</v>
      </c>
      <c r="D120" s="6">
        <f>IF(B120=0, "N/A", (C120-B120)/B120)</f>
        <v/>
      </c>
      <c r="E120" s="8" t="n">
        <v>4335710.188</v>
      </c>
      <c r="F120" s="8" t="n">
        <v>8428018.557600001</v>
      </c>
      <c r="G120" s="6">
        <f>IF(E120=0, "N/A", (F120-E120)/E120)</f>
        <v/>
      </c>
      <c r="H120" s="8" t="n">
        <v>12277286.8716</v>
      </c>
      <c r="I120" s="8" t="n">
        <v>22436573.017</v>
      </c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Buzos C Capucha</t>
        </is>
      </c>
      <c r="B121" s="8" t="n">
        <v>4401964.4714</v>
      </c>
      <c r="C121" s="8" t="n">
        <v>3098377.5893</v>
      </c>
      <c r="D121" s="6">
        <f>IF(B121=0, "N/A", (C121-B121)/B121)</f>
        <v/>
      </c>
      <c r="E121" s="8" t="n">
        <v>6502591.2418</v>
      </c>
      <c r="F121" s="8" t="n">
        <v>2969086.9854</v>
      </c>
      <c r="G121" s="6">
        <f>IF(E121=0, "N/A", (F121-E121)/E121)</f>
        <v/>
      </c>
      <c r="H121" s="8" t="n">
        <v>14460342.3847</v>
      </c>
      <c r="I121" s="8" t="n">
        <v>12684314.7464</v>
      </c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Buzos C Capucha Orangutan</t>
        </is>
      </c>
      <c r="B122" s="8" t="n"/>
      <c r="C122" s="8" t="n">
        <v>674938.464</v>
      </c>
      <c r="D122" s="6">
        <f>IF(B122=0, "N/A", (C122-B122)/B122)</f>
        <v/>
      </c>
      <c r="E122" s="8" t="n"/>
      <c r="F122" s="8" t="n">
        <v>1393822.4633</v>
      </c>
      <c r="G122" s="6">
        <f>IF(E122=0, "N/A", (F122-E122)/E122)</f>
        <v/>
      </c>
      <c r="H122" s="8" t="n"/>
      <c r="I122" s="8" t="n">
        <v>5551588.7324</v>
      </c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Buzos C Redondo Orangutan</t>
        </is>
      </c>
      <c r="B123" s="8" t="n"/>
      <c r="C123" s="8" t="n">
        <v>1254825.6397</v>
      </c>
      <c r="D123" s="6">
        <f>IF(B123=0, "N/A", (C123-B123)/B123)</f>
        <v/>
      </c>
      <c r="E123" s="8" t="n"/>
      <c r="F123" s="8" t="n">
        <v>778130</v>
      </c>
      <c r="G123" s="6">
        <f>IF(E123=0, "N/A", (F123-E123)/E123)</f>
        <v/>
      </c>
      <c r="H123" s="8" t="n"/>
      <c r="I123" s="8" t="n">
        <v>4684690.2902</v>
      </c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Buzos Medio Cierre</t>
        </is>
      </c>
      <c r="B124" s="8" t="n">
        <v>605700</v>
      </c>
      <c r="C124" s="8" t="n">
        <v>1026857.4176</v>
      </c>
      <c r="D124" s="6">
        <f>IF(B124=0, "N/A", (C124-B124)/B124)</f>
        <v/>
      </c>
      <c r="E124" s="8" t="n">
        <v>450700</v>
      </c>
      <c r="F124" s="8" t="n">
        <v>1051919.7714</v>
      </c>
      <c r="G124" s="6">
        <f>IF(E124=0, "N/A", (F124-E124)/E124)</f>
        <v/>
      </c>
      <c r="H124" s="8" t="n">
        <v>11184076.3244</v>
      </c>
      <c r="I124" s="8" t="n">
        <v>3725173.4666</v>
      </c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Calzado</t>
        </is>
      </c>
      <c r="B125" s="8" t="n"/>
      <c r="C125" s="8" t="n"/>
      <c r="D125" s="6">
        <f>IF(B125=0, "N/A", (C125-B125)/B125)</f>
        <v/>
      </c>
      <c r="E125" s="8" t="n"/>
      <c r="F125" s="8" t="n"/>
      <c r="G125" s="6">
        <f>IF(E125=0, "N/A", (F125-E125)/E125)</f>
        <v/>
      </c>
      <c r="H125" s="8" t="n">
        <v>122580</v>
      </c>
      <c r="I125" s="8" t="n"/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Camisas</t>
        </is>
      </c>
      <c r="B126" s="8" t="n">
        <v>416150</v>
      </c>
      <c r="C126" s="8" t="n">
        <v>99910</v>
      </c>
      <c r="D126" s="6">
        <f>IF(B126=0, "N/A", (C126-B126)/B126)</f>
        <v/>
      </c>
      <c r="E126" s="8" t="n">
        <v>420400</v>
      </c>
      <c r="F126" s="8" t="n">
        <v>217780</v>
      </c>
      <c r="G126" s="6">
        <f>IF(E126=0, "N/A", (F126-E126)/E126)</f>
        <v/>
      </c>
      <c r="H126" s="8" t="n">
        <v>1463900</v>
      </c>
      <c r="I126" s="8" t="n">
        <v>214700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Camisetas Manga Larga</t>
        </is>
      </c>
      <c r="B127" s="8" t="n">
        <v>2440354.1009</v>
      </c>
      <c r="C127" s="8" t="n">
        <v>1207317.3168</v>
      </c>
      <c r="D127" s="6">
        <f>IF(B127=0, "N/A", (C127-B127)/B127)</f>
        <v/>
      </c>
      <c r="E127" s="8" t="n">
        <v>3331509.8856</v>
      </c>
      <c r="F127" s="8" t="n">
        <v>1073047.7227</v>
      </c>
      <c r="G127" s="6">
        <f>IF(E127=0, "N/A", (F127-E127)/E127)</f>
        <v/>
      </c>
      <c r="H127" s="8" t="n">
        <v>3250993.2975</v>
      </c>
      <c r="I127" s="8" t="n">
        <v>2638127.8865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Camisetas Manga Larga Orangutan</t>
        </is>
      </c>
      <c r="B128" s="8" t="n"/>
      <c r="C128" s="8" t="n">
        <v>315917.2744</v>
      </c>
      <c r="D128" s="6">
        <f>IF(B128=0, "N/A", (C128-B128)/B128)</f>
        <v/>
      </c>
      <c r="E128" s="8" t="n"/>
      <c r="F128" s="8" t="n">
        <v>338947.4225</v>
      </c>
      <c r="G128" s="6">
        <f>IF(E128=0, "N/A", (F128-E128)/E128)</f>
        <v/>
      </c>
      <c r="H128" s="8" t="n"/>
      <c r="I128" s="8" t="n">
        <v>5163957.9291</v>
      </c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2" t="inlineStr">
        <is>
          <t>Campera Capucha Rustico</t>
        </is>
      </c>
      <c r="B129" s="8" t="n"/>
      <c r="C129" s="8" t="n"/>
      <c r="D129" s="6">
        <f>IF(B129=0, "N/A", (C129-B129)/B129)</f>
        <v/>
      </c>
      <c r="E129" s="8" t="n"/>
      <c r="F129" s="8" t="n"/>
      <c r="G129" s="6">
        <f>IF(E129=0, "N/A", (F129-E129)/E129)</f>
        <v/>
      </c>
      <c r="H129" s="8" t="n"/>
      <c r="I129" s="8" t="n">
        <v>173970.2804</v>
      </c>
      <c r="J129" s="6">
        <f>IF(H129=0, "N/A", (I129-H129)/H129)</f>
        <v/>
      </c>
      <c r="K129" s="8">
        <f>B129+E129+H129</f>
        <v/>
      </c>
      <c r="L129" s="8">
        <f>C129+F129+I129</f>
        <v/>
      </c>
      <c r="M129" s="6">
        <f>IF(K129=0, "N/A", (L129-K129)/K129)</f>
        <v/>
      </c>
    </row>
    <row r="130">
      <c r="A130" s="2" t="inlineStr">
        <is>
          <t>Campera S Capucha</t>
        </is>
      </c>
      <c r="B130" s="8" t="n">
        <v>2426446.0421</v>
      </c>
      <c r="C130" s="8" t="n">
        <v>350800.0019</v>
      </c>
      <c r="D130" s="6">
        <f>IF(B130=0, "N/A", (C130-B130)/B130)</f>
        <v/>
      </c>
      <c r="E130" s="8" t="n">
        <v>4173121.0572</v>
      </c>
      <c r="F130" s="8" t="n">
        <v>603200</v>
      </c>
      <c r="G130" s="6">
        <f>IF(E130=0, "N/A", (F130-E130)/E130)</f>
        <v/>
      </c>
      <c r="H130" s="8" t="n">
        <v>5718374.559</v>
      </c>
      <c r="I130" s="8" t="n">
        <v>3192986.0631</v>
      </c>
      <c r="J130" s="6">
        <f>IF(H130=0, "N/A", (I130-H130)/H130)</f>
        <v/>
      </c>
      <c r="K130" s="8">
        <f>B130+E130+H130</f>
        <v/>
      </c>
      <c r="L130" s="8">
        <f>C130+F130+I130</f>
        <v/>
      </c>
      <c r="M130" s="6">
        <f>IF(K130=0, "N/A", (L130-K130)/K130)</f>
        <v/>
      </c>
    </row>
    <row r="131">
      <c r="A131" s="2" t="inlineStr">
        <is>
          <t>Camperas Capucha</t>
        </is>
      </c>
      <c r="B131" s="8" t="n">
        <v>716844.2635</v>
      </c>
      <c r="C131" s="8" t="n">
        <v>2705817.0909</v>
      </c>
      <c r="D131" s="6">
        <f>IF(B131=0, "N/A", (C131-B131)/B131)</f>
        <v/>
      </c>
      <c r="E131" s="8" t="n">
        <v>1375174.7706</v>
      </c>
      <c r="F131" s="8" t="n">
        <v>2939407.5855</v>
      </c>
      <c r="G131" s="6">
        <f>IF(E131=0, "N/A", (F131-E131)/E131)</f>
        <v/>
      </c>
      <c r="H131" s="8" t="n">
        <v>14078613.5233</v>
      </c>
      <c r="I131" s="8" t="n">
        <v>9193850</v>
      </c>
      <c r="J131" s="6">
        <f>IF(H131=0, "N/A", (I131-H131)/H131)</f>
        <v/>
      </c>
      <c r="K131" s="8">
        <f>B131+E131+H131</f>
        <v/>
      </c>
      <c r="L131" s="8">
        <f>C131+F131+I131</f>
        <v/>
      </c>
      <c r="M131" s="6">
        <f>IF(K131=0, "N/A", (L131-K131)/K131)</f>
        <v/>
      </c>
    </row>
    <row r="132">
      <c r="A132" s="2" t="inlineStr">
        <is>
          <t>Camperas De Abrigo</t>
        </is>
      </c>
      <c r="B132" s="8" t="n">
        <v>3175137.9068</v>
      </c>
      <c r="C132" s="8" t="n">
        <v>1405900</v>
      </c>
      <c r="D132" s="6">
        <f>IF(B132=0, "N/A", (C132-B132)/B132)</f>
        <v/>
      </c>
      <c r="E132" s="8" t="n">
        <v>1935750.3224</v>
      </c>
      <c r="F132" s="8" t="n">
        <v>1114210</v>
      </c>
      <c r="G132" s="6">
        <f>IF(E132=0, "N/A", (F132-E132)/E132)</f>
        <v/>
      </c>
      <c r="H132" s="8" t="n">
        <v>6110982.9851</v>
      </c>
      <c r="I132" s="8" t="n">
        <v>3515092.7468</v>
      </c>
      <c r="J132" s="6">
        <f>IF(H132=0, "N/A", (I132-H132)/H132)</f>
        <v/>
      </c>
      <c r="K132" s="8">
        <f>B132+E132+H132</f>
        <v/>
      </c>
      <c r="L132" s="8">
        <f>C132+F132+I132</f>
        <v/>
      </c>
      <c r="M132" s="6">
        <f>IF(K132=0, "N/A", (L132-K132)/K132)</f>
        <v/>
      </c>
    </row>
    <row r="133">
      <c r="A133" s="2" t="inlineStr">
        <is>
          <t>Chombas</t>
        </is>
      </c>
      <c r="B133" s="8" t="n">
        <v>628881.6075</v>
      </c>
      <c r="C133" s="8" t="n">
        <v>197645.1442</v>
      </c>
      <c r="D133" s="6">
        <f>IF(B133=0, "N/A", (C133-B133)/B133)</f>
        <v/>
      </c>
      <c r="E133" s="8" t="n">
        <v>436100</v>
      </c>
      <c r="F133" s="8" t="n">
        <v>386791.1397</v>
      </c>
      <c r="G133" s="6">
        <f>IF(E133=0, "N/A", (F133-E133)/E133)</f>
        <v/>
      </c>
      <c r="H133" s="8" t="n">
        <v>2062500</v>
      </c>
      <c r="I133" s="8" t="n">
        <v>595900</v>
      </c>
      <c r="J133" s="6">
        <f>IF(H133=0, "N/A", (I133-H133)/H133)</f>
        <v/>
      </c>
      <c r="K133" s="8">
        <f>B133+E133+H133</f>
        <v/>
      </c>
      <c r="L133" s="8">
        <f>C133+F133+I133</f>
        <v/>
      </c>
      <c r="M133" s="6">
        <f>IF(K133=0, "N/A", (L133-K133)/K133)</f>
        <v/>
      </c>
    </row>
    <row r="134">
      <c r="A134" s="2" t="inlineStr">
        <is>
          <t>Chombas Manga Larga</t>
        </is>
      </c>
      <c r="B134" s="8" t="n"/>
      <c r="C134" s="8" t="n">
        <v>337413.5265</v>
      </c>
      <c r="D134" s="6">
        <f>IF(B134=0, "N/A", (C134-B134)/B134)</f>
        <v/>
      </c>
      <c r="E134" s="8" t="n"/>
      <c r="F134" s="8" t="n">
        <v>283167.0336</v>
      </c>
      <c r="G134" s="6">
        <f>IF(E134=0, "N/A", (F134-E134)/E134)</f>
        <v/>
      </c>
      <c r="H134" s="8" t="n">
        <v>1104998</v>
      </c>
      <c r="I134" s="8" t="n">
        <v>325200</v>
      </c>
      <c r="J134" s="6">
        <f>IF(H134=0, "N/A", (I134-H134)/H134)</f>
        <v/>
      </c>
      <c r="K134" s="8">
        <f>B134+E134+H134</f>
        <v/>
      </c>
      <c r="L134" s="8">
        <f>C134+F134+I134</f>
        <v/>
      </c>
      <c r="M134" s="6">
        <f>IF(K134=0, "N/A", (L134-K134)/K134)</f>
        <v/>
      </c>
    </row>
    <row r="135">
      <c r="A135" s="2" t="inlineStr">
        <is>
          <t>Jeans</t>
        </is>
      </c>
      <c r="B135" s="8" t="n">
        <v>4958097.7068</v>
      </c>
      <c r="C135" s="8" t="n">
        <v>5419612.5429</v>
      </c>
      <c r="D135" s="6">
        <f>IF(B135=0, "N/A", (C135-B135)/B135)</f>
        <v/>
      </c>
      <c r="E135" s="8" t="n">
        <v>4771561.0039</v>
      </c>
      <c r="F135" s="8" t="n">
        <v>6088494.6082</v>
      </c>
      <c r="G135" s="6">
        <f>IF(E135=0, "N/A", (F135-E135)/E135)</f>
        <v/>
      </c>
      <c r="H135" s="8" t="n">
        <v>23386190.0443</v>
      </c>
      <c r="I135" s="8" t="n">
        <v>31622358.8715</v>
      </c>
      <c r="J135" s="6">
        <f>IF(H135=0, "N/A", (I135-H135)/H135)</f>
        <v/>
      </c>
      <c r="K135" s="8">
        <f>B135+E135+H135</f>
        <v/>
      </c>
      <c r="L135" s="8">
        <f>C135+F135+I135</f>
        <v/>
      </c>
      <c r="M135" s="6">
        <f>IF(K135=0, "N/A", (L135-K135)/K135)</f>
        <v/>
      </c>
    </row>
    <row r="136">
      <c r="A136" s="2" t="inlineStr">
        <is>
          <t>Jogging</t>
        </is>
      </c>
      <c r="B136" s="8" t="n">
        <v>1822687.26</v>
      </c>
      <c r="C136" s="8" t="n">
        <v>2510270.1741</v>
      </c>
      <c r="D136" s="6">
        <f>IF(B136=0, "N/A", (C136-B136)/B136)</f>
        <v/>
      </c>
      <c r="E136" s="8" t="n">
        <v>1506677.7806</v>
      </c>
      <c r="F136" s="8" t="n">
        <v>2120363.5616</v>
      </c>
      <c r="G136" s="6">
        <f>IF(E136=0, "N/A", (F136-E136)/E136)</f>
        <v/>
      </c>
      <c r="H136" s="8" t="n">
        <v>7214732.381</v>
      </c>
      <c r="I136" s="8" t="n">
        <v>8866407.148700001</v>
      </c>
      <c r="J136" s="6">
        <f>IF(H136=0, "N/A", (I136-H136)/H136)</f>
        <v/>
      </c>
      <c r="K136" s="8">
        <f>B136+E136+H136</f>
        <v/>
      </c>
      <c r="L136" s="8">
        <f>C136+F136+I136</f>
        <v/>
      </c>
      <c r="M136" s="6">
        <f>IF(K136=0, "N/A", (L136-K136)/K136)</f>
        <v/>
      </c>
    </row>
    <row r="137">
      <c r="A137" s="2" t="inlineStr">
        <is>
          <t>Otro</t>
        </is>
      </c>
      <c r="B137" s="8" t="n"/>
      <c r="C137" s="8" t="n"/>
      <c r="D137" s="6">
        <f>IF(B137=0, "N/A", (C137-B137)/B137)</f>
        <v/>
      </c>
      <c r="E137" s="8" t="n">
        <v>33000</v>
      </c>
      <c r="F137" s="8" t="n"/>
      <c r="G137" s="6">
        <f>IF(E137=0, "N/A", (F137-E137)/E137)</f>
        <v/>
      </c>
      <c r="H137" s="8" t="n"/>
      <c r="I137" s="8" t="n"/>
      <c r="J137" s="6">
        <f>IF(H137=0, "N/A", (I137-H137)/H137)</f>
        <v/>
      </c>
      <c r="K137" s="8">
        <f>B137+E137+H137</f>
        <v/>
      </c>
      <c r="L137" s="8">
        <f>C137+F137+I137</f>
        <v/>
      </c>
      <c r="M137" s="6">
        <f>IF(K137=0, "N/A", (L137-K137)/K137)</f>
        <v/>
      </c>
    </row>
    <row r="138">
      <c r="A138" s="2" t="inlineStr">
        <is>
          <t>Remeras</t>
        </is>
      </c>
      <c r="B138" s="8" t="n">
        <v>2736405.0776</v>
      </c>
      <c r="C138" s="8" t="n">
        <v>1509015.4466</v>
      </c>
      <c r="D138" s="6">
        <f>IF(B138=0, "N/A", (C138-B138)/B138)</f>
        <v/>
      </c>
      <c r="E138" s="8" t="n">
        <v>4227028.2137</v>
      </c>
      <c r="F138" s="8" t="n">
        <v>2345105.6597</v>
      </c>
      <c r="G138" s="6">
        <f>IF(E138=0, "N/A", (F138-E138)/E138)</f>
        <v/>
      </c>
      <c r="H138" s="8" t="n">
        <v>10533800</v>
      </c>
      <c r="I138" s="8" t="n">
        <v>6042875.8784</v>
      </c>
      <c r="J138" s="6">
        <f>IF(H138=0, "N/A", (I138-H138)/H138)</f>
        <v/>
      </c>
      <c r="K138" s="8">
        <f>B138+E138+H138</f>
        <v/>
      </c>
      <c r="L138" s="8">
        <f>C138+F138+I138</f>
        <v/>
      </c>
      <c r="M138" s="6">
        <f>IF(K138=0, "N/A", (L138-K138)/K138)</f>
        <v/>
      </c>
    </row>
    <row r="139">
      <c r="A139" s="2" t="inlineStr">
        <is>
          <t>Sweaters</t>
        </is>
      </c>
      <c r="B139" s="8" t="n">
        <v>1835598.4169</v>
      </c>
      <c r="C139" s="8" t="n">
        <v>1739471.5757</v>
      </c>
      <c r="D139" s="6">
        <f>IF(B139=0, "N/A", (C139-B139)/B139)</f>
        <v/>
      </c>
      <c r="E139" s="8" t="n">
        <v>3913748.6488</v>
      </c>
      <c r="F139" s="8" t="n">
        <v>2407406.1732</v>
      </c>
      <c r="G139" s="6">
        <f>IF(E139=0, "N/A", (F139-E139)/E139)</f>
        <v/>
      </c>
      <c r="H139" s="8" t="n">
        <v>2449550</v>
      </c>
      <c r="I139" s="8" t="n">
        <v>2786500</v>
      </c>
      <c r="J139" s="6">
        <f>IF(H139=0, "N/A", (I139-H139)/H139)</f>
        <v/>
      </c>
      <c r="K139" s="8">
        <f>B139+E139+H139</f>
        <v/>
      </c>
      <c r="L139" s="8">
        <f>C139+F139+I139</f>
        <v/>
      </c>
      <c r="M139" s="6">
        <f>IF(K139=0, "N/A", (L139-K139)/K139)</f>
        <v/>
      </c>
    </row>
    <row r="140">
      <c r="A140" s="2" t="inlineStr">
        <is>
          <t>Trajes De Baño</t>
        </is>
      </c>
      <c r="B140" s="8" t="n">
        <v>18900</v>
      </c>
      <c r="C140" s="8" t="n"/>
      <c r="D140" s="6">
        <f>IF(B140=0, "N/A", (C140-B140)/B140)</f>
        <v/>
      </c>
      <c r="E140" s="8" t="n"/>
      <c r="F140" s="8" t="n"/>
      <c r="G140" s="6">
        <f>IF(E140=0, "N/A", (F140-E140)/E140)</f>
        <v/>
      </c>
      <c r="H140" s="8" t="n"/>
      <c r="I140" s="8" t="n"/>
      <c r="J140" s="6">
        <f>IF(H140=0, "N/A", (I140-H140)/H140)</f>
        <v/>
      </c>
      <c r="K140" s="8">
        <f>B140+E140+H140</f>
        <v/>
      </c>
      <c r="L140" s="8">
        <f>C140+F140+I140</f>
        <v/>
      </c>
      <c r="M140" s="6">
        <f>IF(K140=0, "N/A", (L140-K140)/K140)</f>
        <v/>
      </c>
    </row>
    <row r="141">
      <c r="A141" s="5" t="inlineStr">
        <is>
          <t>Totals</t>
        </is>
      </c>
      <c r="B141" s="9">
        <f>SUM($B116:$B140)</f>
        <v/>
      </c>
      <c r="C141" s="9">
        <f>SUM($C116:$C140)</f>
        <v/>
      </c>
      <c r="D141" s="7">
        <f>IF(B141=0, "N/A", (C141-B141)/B141)</f>
        <v/>
      </c>
      <c r="E141" s="9">
        <f>SUM($E116:$E140)</f>
        <v/>
      </c>
      <c r="F141" s="9">
        <f>SUM($F116:$F140)</f>
        <v/>
      </c>
      <c r="G141" s="7">
        <f>IF(E141=0, "N/A", (F141-E141)/E141)</f>
        <v/>
      </c>
      <c r="H141" s="9">
        <f>SUM($H116:$H140)</f>
        <v/>
      </c>
      <c r="I141" s="9">
        <f>SUM($I116:$I140)</f>
        <v/>
      </c>
      <c r="J141" s="7">
        <f>IF(H141=0, "N/A", (I141-H141)/H141)</f>
        <v/>
      </c>
      <c r="K141" s="9">
        <f>SUM($K116:$K140)</f>
        <v/>
      </c>
      <c r="L141" s="9">
        <f>SUM($L116:$L140)</f>
        <v/>
      </c>
      <c r="M141" s="7">
        <f>IF(K141=0, "N/A", (L141-K141)/K141)</f>
        <v/>
      </c>
    </row>
    <row r="144">
      <c r="A144" s="1" t="inlineStr">
        <is>
          <t>YoY Sales Amount Comparison - Branch Group 2</t>
        </is>
      </c>
    </row>
    <row r="145">
      <c r="B145" s="1" t="inlineStr">
        <is>
          <t>VIRREYES</t>
        </is>
      </c>
      <c r="C145" s="1" t="n"/>
      <c r="D145" s="1" t="n"/>
    </row>
    <row r="146">
      <c r="A146" s="1" t="inlineStr">
        <is>
          <t>Familias</t>
        </is>
      </c>
      <c r="B146" s="1" t="n">
        <v>2025</v>
      </c>
      <c r="C146" s="1" t="n">
        <v>2026</v>
      </c>
      <c r="D146" s="1" t="inlineStr">
        <is>
          <t>%</t>
        </is>
      </c>
    </row>
    <row r="147">
      <c r="A147" s="2" t="inlineStr">
        <is>
          <t>Accesorios</t>
        </is>
      </c>
      <c r="B147" s="8" t="n">
        <v>67949</v>
      </c>
      <c r="C147" s="8" t="n">
        <v>80900</v>
      </c>
      <c r="D147" s="6">
        <f>IF(B147=0, "N/A", (C147-B147)/B147)</f>
        <v/>
      </c>
    </row>
    <row r="148">
      <c r="A148" s="2" t="inlineStr">
        <is>
          <t>Boxer</t>
        </is>
      </c>
      <c r="B148" s="8" t="n">
        <v>108000</v>
      </c>
      <c r="C148" s="8" t="n">
        <v>14500</v>
      </c>
      <c r="D148" s="6">
        <f>IF(B148=0, "N/A", (C148-B148)/B148)</f>
        <v/>
      </c>
    </row>
    <row r="149">
      <c r="A149" s="2" t="inlineStr">
        <is>
          <t>Buzo Cuello Redondo</t>
        </is>
      </c>
      <c r="B149" s="8" t="n">
        <v>949300</v>
      </c>
      <c r="C149" s="8" t="n">
        <v>64599.9992</v>
      </c>
      <c r="D149" s="6">
        <f>IF(B149=0, "N/A", (C149-B149)/B149)</f>
        <v/>
      </c>
    </row>
    <row r="150">
      <c r="A150" s="2" t="inlineStr">
        <is>
          <t>Buzos C Capucha</t>
        </is>
      </c>
      <c r="B150" s="8" t="n">
        <v>702888</v>
      </c>
      <c r="C150" s="8" t="n">
        <v>140700</v>
      </c>
      <c r="D150" s="6">
        <f>IF(B150=0, "N/A", (C150-B150)/B150)</f>
        <v/>
      </c>
    </row>
    <row r="151">
      <c r="A151" s="2" t="inlineStr">
        <is>
          <t>Buzos C Capucha Orangutan</t>
        </is>
      </c>
      <c r="B151" s="8" t="n"/>
      <c r="C151" s="8" t="n">
        <v>718560</v>
      </c>
      <c r="D151" s="6">
        <f>IF(B151=0, "N/A", (C151-B151)/B151)</f>
        <v/>
      </c>
    </row>
    <row r="152">
      <c r="A152" s="2" t="inlineStr">
        <is>
          <t>Buzos C Redondo Orangutan</t>
        </is>
      </c>
      <c r="B152" s="8" t="n"/>
      <c r="C152" s="8" t="n">
        <v>229510</v>
      </c>
      <c r="D152" s="6">
        <f>IF(B152=0, "N/A", (C152-B152)/B152)</f>
        <v/>
      </c>
    </row>
    <row r="153">
      <c r="A153" s="2" t="inlineStr">
        <is>
          <t>Buzos Medio Cierre</t>
        </is>
      </c>
      <c r="B153" s="8" t="n">
        <v>164000</v>
      </c>
      <c r="C153" s="8" t="n"/>
      <c r="D153" s="6">
        <f>IF(B153=0, "N/A", (C153-B153)/B153)</f>
        <v/>
      </c>
    </row>
    <row r="154">
      <c r="A154" s="2" t="inlineStr">
        <is>
          <t>Calzado</t>
        </is>
      </c>
      <c r="B154" s="8" t="n">
        <v>61290</v>
      </c>
      <c r="C154" s="8" t="n">
        <v>25300</v>
      </c>
      <c r="D154" s="6">
        <f>IF(B154=0, "N/A", (C154-B154)/B154)</f>
        <v/>
      </c>
    </row>
    <row r="155">
      <c r="A155" s="2" t="inlineStr">
        <is>
          <t>Camisetas Manga Larga</t>
        </is>
      </c>
      <c r="B155" s="8" t="n">
        <v>489000</v>
      </c>
      <c r="C155" s="8" t="n"/>
      <c r="D155" s="6">
        <f>IF(B155=0, "N/A", (C155-B155)/B155)</f>
        <v/>
      </c>
    </row>
    <row r="156">
      <c r="A156" s="2" t="inlineStr">
        <is>
          <t>Camisetas Manga Larga Orangutan</t>
        </is>
      </c>
      <c r="B156" s="8" t="n"/>
      <c r="C156" s="8" t="n">
        <v>139120</v>
      </c>
      <c r="D156" s="6">
        <f>IF(B156=0, "N/A", (C156-B156)/B156)</f>
        <v/>
      </c>
    </row>
    <row r="157">
      <c r="A157" s="2" t="inlineStr">
        <is>
          <t>Campera S Capucha</t>
        </is>
      </c>
      <c r="B157" s="8" t="n">
        <v>45500</v>
      </c>
      <c r="C157" s="8" t="n">
        <v>36900</v>
      </c>
      <c r="D157" s="6">
        <f>IF(B157=0, "N/A", (C157-B157)/B157)</f>
        <v/>
      </c>
    </row>
    <row r="158">
      <c r="A158" s="2" t="inlineStr">
        <is>
          <t>Camperas Capucha</t>
        </is>
      </c>
      <c r="B158" s="8" t="n">
        <v>329800</v>
      </c>
      <c r="C158" s="8" t="n">
        <v>99800</v>
      </c>
      <c r="D158" s="6">
        <f>IF(B158=0, "N/A", (C158-B158)/B158)</f>
        <v/>
      </c>
    </row>
    <row r="159">
      <c r="A159" s="2" t="inlineStr">
        <is>
          <t>Camperas De Abrigo</t>
        </is>
      </c>
      <c r="B159" s="8" t="n">
        <v>858000</v>
      </c>
      <c r="C159" s="8" t="n">
        <v>295620</v>
      </c>
      <c r="D159" s="6">
        <f>IF(B159=0, "N/A", (C159-B159)/B159)</f>
        <v/>
      </c>
    </row>
    <row r="160">
      <c r="A160" s="2" t="inlineStr">
        <is>
          <t>Chombas</t>
        </is>
      </c>
      <c r="B160" s="8" t="n"/>
      <c r="C160" s="8" t="n">
        <v>19900</v>
      </c>
      <c r="D160" s="6">
        <f>IF(B160=0, "N/A", (C160-B160)/B160)</f>
        <v/>
      </c>
    </row>
    <row r="161">
      <c r="A161" s="2" t="inlineStr">
        <is>
          <t>Jeans</t>
        </is>
      </c>
      <c r="B161" s="8" t="n">
        <v>684190</v>
      </c>
      <c r="C161" s="8" t="n">
        <v>642500</v>
      </c>
      <c r="D161" s="6">
        <f>IF(B161=0, "N/A", (C161-B161)/B161)</f>
        <v/>
      </c>
    </row>
    <row r="162">
      <c r="A162" s="2" t="inlineStr">
        <is>
          <t>Jogging</t>
        </is>
      </c>
      <c r="B162" s="8" t="n">
        <v>480490</v>
      </c>
      <c r="C162" s="8" t="n">
        <v>406149.9992</v>
      </c>
      <c r="D162" s="6">
        <f>IF(B162=0, "N/A", (C162-B162)/B162)</f>
        <v/>
      </c>
    </row>
    <row r="163">
      <c r="A163" s="2" t="inlineStr">
        <is>
          <t>Otro</t>
        </is>
      </c>
      <c r="B163" s="8" t="n">
        <v>79600</v>
      </c>
      <c r="C163" s="8" t="n">
        <v>111800</v>
      </c>
      <c r="D163" s="6">
        <f>IF(B163=0, "N/A", (C163-B163)/B163)</f>
        <v/>
      </c>
    </row>
    <row r="164">
      <c r="A164" s="2" t="inlineStr">
        <is>
          <t>Remeras</t>
        </is>
      </c>
      <c r="B164" s="8" t="n">
        <v>352700</v>
      </c>
      <c r="C164" s="8" t="n">
        <v>263110.0016</v>
      </c>
      <c r="D164" s="6">
        <f>IF(B164=0, "N/A", (C164-B164)/B164)</f>
        <v/>
      </c>
    </row>
    <row r="165">
      <c r="A165" s="2" t="inlineStr">
        <is>
          <t>Sweaters</t>
        </is>
      </c>
      <c r="B165" s="8" t="n">
        <v>215000</v>
      </c>
      <c r="C165" s="8" t="n"/>
      <c r="D165" s="6">
        <f>IF(B165=0, "N/A", (C165-B165)/B165)</f>
        <v/>
      </c>
    </row>
    <row r="166">
      <c r="A166" s="5" t="inlineStr">
        <is>
          <t>Totals</t>
        </is>
      </c>
      <c r="B166" s="9">
        <f>SUM($B147:$B165)</f>
        <v/>
      </c>
      <c r="C166" s="9">
        <f>SUM($C147:$C165)</f>
        <v/>
      </c>
      <c r="D166" s="7">
        <f>IF(B166=0, "N/A", (C166-B166)/B166)</f>
        <v/>
      </c>
    </row>
  </sheetData>
  <mergeCells count="16">
    <mergeCell ref="H114:I114"/>
    <mergeCell ref="B30:C30"/>
    <mergeCell ref="K30:L30"/>
    <mergeCell ref="E30:F30"/>
    <mergeCell ref="A85:F85"/>
    <mergeCell ref="A144:D144"/>
    <mergeCell ref="A1:F1"/>
    <mergeCell ref="B114:C114"/>
    <mergeCell ref="B61:C61"/>
    <mergeCell ref="B145:C145"/>
    <mergeCell ref="K114:L114"/>
    <mergeCell ref="A29:M29"/>
    <mergeCell ref="A113:M113"/>
    <mergeCell ref="A60:D60"/>
    <mergeCell ref="H30:I30"/>
    <mergeCell ref="E114:F1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July 01, 2026 to July 31,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22</v>
      </c>
      <c r="C3" s="3" t="n">
        <v>28</v>
      </c>
      <c r="D3" s="3" t="n">
        <v>71</v>
      </c>
      <c r="E3" s="3" t="n">
        <v>1</v>
      </c>
      <c r="F3" s="4">
        <f>B3+C3+D3+E3</f>
        <v/>
      </c>
    </row>
    <row r="4">
      <c r="A4" s="2" t="inlineStr">
        <is>
          <t>Boxer</t>
        </is>
      </c>
      <c r="B4" s="3" t="n">
        <v>18</v>
      </c>
      <c r="C4" s="3" t="n">
        <v>15</v>
      </c>
      <c r="D4" s="3" t="n">
        <v>41</v>
      </c>
      <c r="E4" s="3" t="n">
        <v>6</v>
      </c>
      <c r="F4" s="4">
        <f>B4+C4+D4+E4</f>
        <v/>
      </c>
    </row>
    <row r="5">
      <c r="A5" s="2" t="inlineStr">
        <is>
          <t>Buzo Cuello Redondo</t>
        </is>
      </c>
      <c r="B5" s="3" t="n">
        <v>32</v>
      </c>
      <c r="C5" s="3" t="n">
        <v>56</v>
      </c>
      <c r="D5" s="3" t="n">
        <v>148</v>
      </c>
      <c r="E5" s="3" t="n">
        <v>1</v>
      </c>
      <c r="F5" s="4">
        <f>B5+C5+D5+E5</f>
        <v/>
      </c>
    </row>
    <row r="6">
      <c r="A6" s="2" t="inlineStr">
        <is>
          <t>Buzos C Capucha</t>
        </is>
      </c>
      <c r="B6" s="3" t="n">
        <v>33</v>
      </c>
      <c r="C6" s="3" t="n">
        <v>40</v>
      </c>
      <c r="D6" s="3" t="n">
        <v>127</v>
      </c>
      <c r="E6" s="3" t="n">
        <v>3</v>
      </c>
      <c r="F6" s="4">
        <f>B6+C6+D6+E6</f>
        <v/>
      </c>
    </row>
    <row r="7">
      <c r="A7" s="2" t="inlineStr">
        <is>
          <t>Buzos C Capucha Orangutan</t>
        </is>
      </c>
      <c r="B7" s="3" t="n">
        <v>16</v>
      </c>
      <c r="C7" s="3" t="n">
        <v>12</v>
      </c>
      <c r="D7" s="3" t="n">
        <v>48</v>
      </c>
      <c r="E7" s="3" t="n">
        <v>4</v>
      </c>
      <c r="F7" s="4">
        <f>B7+C7+D7+E7</f>
        <v/>
      </c>
    </row>
    <row r="8">
      <c r="A8" s="2" t="inlineStr">
        <is>
          <t>Buzos C Redondo Orangutan</t>
        </is>
      </c>
      <c r="B8" s="3" t="n">
        <v>4</v>
      </c>
      <c r="C8" s="3" t="n">
        <v>2</v>
      </c>
      <c r="D8" s="3" t="n">
        <v>17</v>
      </c>
      <c r="E8" s="3" t="n">
        <v>6</v>
      </c>
      <c r="F8" s="4">
        <f>B8+C8+D8+E8</f>
        <v/>
      </c>
    </row>
    <row r="9">
      <c r="A9" s="2" t="inlineStr">
        <is>
          <t>Buzos C Redondo Rustico</t>
        </is>
      </c>
      <c r="B9" s="3" t="n"/>
      <c r="C9" s="3" t="n"/>
      <c r="D9" s="3" t="n">
        <v>-1</v>
      </c>
      <c r="E9" s="3" t="n"/>
      <c r="F9" s="4">
        <f>B9+C9+D9+E9</f>
        <v/>
      </c>
    </row>
    <row r="10">
      <c r="A10" s="2" t="inlineStr">
        <is>
          <t>Buzos Medio Cierre</t>
        </is>
      </c>
      <c r="B10" s="3" t="n">
        <v>3</v>
      </c>
      <c r="C10" s="3" t="n">
        <v>2</v>
      </c>
      <c r="D10" s="3" t="n">
        <v>2</v>
      </c>
      <c r="E10" s="3" t="n"/>
      <c r="F10" s="4">
        <f>B10+C10+D10+E10</f>
        <v/>
      </c>
    </row>
    <row r="11">
      <c r="A11" s="2" t="inlineStr">
        <is>
          <t>Camisas</t>
        </is>
      </c>
      <c r="B11" s="3" t="n">
        <v>3</v>
      </c>
      <c r="C11" s="3" t="n">
        <v>3</v>
      </c>
      <c r="D11" s="3" t="n">
        <v>1</v>
      </c>
      <c r="E11" s="3" t="n"/>
      <c r="F11" s="4">
        <f>B11+C11+D11+E11</f>
        <v/>
      </c>
    </row>
    <row r="12">
      <c r="A12" s="2" t="inlineStr">
        <is>
          <t>Camisetas Manga Larga</t>
        </is>
      </c>
      <c r="B12" s="3" t="n">
        <v>10</v>
      </c>
      <c r="C12" s="3" t="n">
        <v>13</v>
      </c>
      <c r="D12" s="3" t="n">
        <v>7</v>
      </c>
      <c r="E12" s="3" t="n"/>
      <c r="F12" s="4">
        <f>B12+C12+D12+E12</f>
        <v/>
      </c>
    </row>
    <row r="13">
      <c r="A13" s="2" t="inlineStr">
        <is>
          <t>Camisetas Manga Larga Orangutan</t>
        </is>
      </c>
      <c r="B13" s="3" t="n">
        <v>5</v>
      </c>
      <c r="C13" s="3" t="n">
        <v>4</v>
      </c>
      <c r="D13" s="3" t="n">
        <v>28</v>
      </c>
      <c r="E13" s="3" t="n">
        <v>-2</v>
      </c>
      <c r="F13" s="4">
        <f>B13+C13+D13+E13</f>
        <v/>
      </c>
    </row>
    <row r="14">
      <c r="A14" s="2" t="inlineStr">
        <is>
          <t>Campera S Capucha</t>
        </is>
      </c>
      <c r="B14" s="3" t="n">
        <v>1</v>
      </c>
      <c r="C14" s="3" t="n">
        <v>2</v>
      </c>
      <c r="D14" s="3" t="n">
        <v>8</v>
      </c>
      <c r="E14" s="3" t="n"/>
      <c r="F14" s="4">
        <f>B14+C14+D14+E14</f>
        <v/>
      </c>
    </row>
    <row r="15">
      <c r="A15" s="2" t="inlineStr">
        <is>
          <t>Camperas Capucha</t>
        </is>
      </c>
      <c r="B15" s="3" t="n">
        <v>21</v>
      </c>
      <c r="C15" s="3" t="n">
        <v>20</v>
      </c>
      <c r="D15" s="3" t="n">
        <v>28</v>
      </c>
      <c r="E15" s="3" t="n">
        <v>3</v>
      </c>
      <c r="F15" s="4">
        <f>B15+C15+D15+E15</f>
        <v/>
      </c>
    </row>
    <row r="16">
      <c r="A16" s="2" t="inlineStr">
        <is>
          <t>Camperas De Abrigo</t>
        </is>
      </c>
      <c r="B16" s="3" t="n">
        <v>6</v>
      </c>
      <c r="C16" s="3" t="n">
        <v>13</v>
      </c>
      <c r="D16" s="3" t="n">
        <v>22</v>
      </c>
      <c r="E16" s="3" t="n">
        <v>3</v>
      </c>
      <c r="F16" s="4">
        <f>B16+C16+D16+E16</f>
        <v/>
      </c>
    </row>
    <row r="17">
      <c r="A17" s="2" t="inlineStr">
        <is>
          <t>Chombas</t>
        </is>
      </c>
      <c r="B17" s="3" t="n">
        <v>8</v>
      </c>
      <c r="C17" s="3" t="n">
        <v>6</v>
      </c>
      <c r="D17" s="3" t="n">
        <v>1</v>
      </c>
      <c r="E17" s="3" t="n"/>
      <c r="F17" s="4">
        <f>B17+C17+D17+E17</f>
        <v/>
      </c>
    </row>
    <row r="18">
      <c r="A18" s="2" t="inlineStr">
        <is>
          <t>Chombas Manga Larga</t>
        </is>
      </c>
      <c r="B18" s="3" t="n">
        <v>1</v>
      </c>
      <c r="C18" s="3" t="n">
        <v>8</v>
      </c>
      <c r="D18" s="3" t="n">
        <v>-3</v>
      </c>
      <c r="E18" s="3" t="n"/>
      <c r="F18" s="4">
        <f>B18+C18+D18+E18</f>
        <v/>
      </c>
    </row>
    <row r="19">
      <c r="A19" s="2" t="inlineStr">
        <is>
          <t>Jeans</t>
        </is>
      </c>
      <c r="B19" s="3" t="n">
        <v>39</v>
      </c>
      <c r="C19" s="3" t="n">
        <v>49</v>
      </c>
      <c r="D19" s="3" t="n">
        <v>273</v>
      </c>
      <c r="E19" s="3" t="n">
        <v>20</v>
      </c>
      <c r="F19" s="4">
        <f>B19+C19+D19+E19</f>
        <v/>
      </c>
    </row>
    <row r="20">
      <c r="A20" s="2" t="inlineStr">
        <is>
          <t>Jogging</t>
        </is>
      </c>
      <c r="B20" s="3" t="n">
        <v>4</v>
      </c>
      <c r="C20" s="3" t="n">
        <v>9</v>
      </c>
      <c r="D20" s="3" t="n">
        <v>43</v>
      </c>
      <c r="E20" s="3" t="n">
        <v>6</v>
      </c>
      <c r="F20" s="4">
        <f>B20+C20+D20+E20</f>
        <v/>
      </c>
    </row>
    <row r="21">
      <c r="A21" s="2" t="inlineStr">
        <is>
          <t>Otro</t>
        </is>
      </c>
      <c r="B21" s="3" t="n"/>
      <c r="C21" s="3" t="n"/>
      <c r="D21" s="3" t="n">
        <v>1</v>
      </c>
      <c r="E21" s="3" t="n"/>
      <c r="F21" s="4">
        <f>B21+C21+D21+E21</f>
        <v/>
      </c>
    </row>
    <row r="22">
      <c r="A22" s="2" t="inlineStr">
        <is>
          <t>Remeras</t>
        </is>
      </c>
      <c r="B22" s="3" t="n">
        <v>35</v>
      </c>
      <c r="C22" s="3" t="n">
        <v>53</v>
      </c>
      <c r="D22" s="3" t="n">
        <v>234</v>
      </c>
      <c r="E22" s="3" t="n">
        <v>15</v>
      </c>
      <c r="F22" s="4">
        <f>B22+C22+D22+E22</f>
        <v/>
      </c>
    </row>
    <row r="23">
      <c r="A23" s="2" t="inlineStr">
        <is>
          <t>Sweaters</t>
        </is>
      </c>
      <c r="B23" s="3" t="n">
        <v>8</v>
      </c>
      <c r="C23" s="3" t="n">
        <v>7</v>
      </c>
      <c r="D23" s="3" t="n">
        <v>4</v>
      </c>
      <c r="E23" s="3" t="n"/>
      <c r="F23" s="4">
        <f>B23+C23+D23+E23</f>
        <v/>
      </c>
    </row>
    <row r="24">
      <c r="A24" s="5" t="inlineStr">
        <is>
          <t>Totals</t>
        </is>
      </c>
      <c r="B24" s="4">
        <f>SUM($B$3:$B$23)</f>
        <v/>
      </c>
      <c r="C24" s="4">
        <f>SUM($C$3:$C$23)</f>
        <v/>
      </c>
      <c r="D24" s="4">
        <f>SUM($D$3:$D$23)</f>
        <v/>
      </c>
      <c r="E24" s="4">
        <f>SUM($E$3:$E$23)</f>
        <v/>
      </c>
      <c r="F24" s="4">
        <f>SUM($F$3:$F$23)</f>
        <v/>
      </c>
    </row>
    <row r="27">
      <c r="A27" s="1" t="inlineStr">
        <is>
          <t>YoY Units Sold Comparison - Branch Group 1</t>
        </is>
      </c>
    </row>
    <row r="28">
      <c r="B28" s="1" t="inlineStr">
        <is>
          <t>LIBERT.R</t>
        </is>
      </c>
      <c r="C28" s="1" t="n"/>
      <c r="D28" s="1" t="n"/>
      <c r="E28" s="1" t="inlineStr">
        <is>
          <t>PASO.R</t>
        </is>
      </c>
      <c r="F28" s="1" t="n"/>
      <c r="G28" s="1" t="n"/>
      <c r="H28" s="1" t="inlineStr">
        <is>
          <t>P.OESTE</t>
        </is>
      </c>
      <c r="I28" s="1" t="n"/>
      <c r="J28" s="1" t="n"/>
      <c r="K28" s="1" t="inlineStr">
        <is>
          <t>Global</t>
        </is>
      </c>
      <c r="L28" s="1" t="n"/>
      <c r="M28" s="1" t="n"/>
    </row>
    <row r="29">
      <c r="A29" s="1" t="inlineStr">
        <is>
          <t>Familias</t>
        </is>
      </c>
      <c r="B29" s="1" t="n">
        <v>2025</v>
      </c>
      <c r="C29" s="1" t="n">
        <v>2026</v>
      </c>
      <c r="D29" s="1" t="inlineStr">
        <is>
          <t>%</t>
        </is>
      </c>
      <c r="E29" s="1" t="n">
        <v>2025</v>
      </c>
      <c r="F29" s="1" t="n">
        <v>2026</v>
      </c>
      <c r="G29" s="1" t="inlineStr">
        <is>
          <t>%</t>
        </is>
      </c>
      <c r="H29" s="1" t="n">
        <v>2025</v>
      </c>
      <c r="I29" s="1" t="n">
        <v>2026</v>
      </c>
      <c r="J29" s="1" t="inlineStr">
        <is>
          <t>%</t>
        </is>
      </c>
      <c r="K29" s="1" t="n">
        <v>2025</v>
      </c>
      <c r="L29" s="1" t="n">
        <v>2026</v>
      </c>
      <c r="M29" s="1" t="inlineStr">
        <is>
          <t>%</t>
        </is>
      </c>
    </row>
    <row r="30">
      <c r="A30" s="2" t="inlineStr">
        <is>
          <t>Accesorios</t>
        </is>
      </c>
      <c r="B30" s="3" t="n">
        <v>18</v>
      </c>
      <c r="C30" s="3" t="n">
        <v>22</v>
      </c>
      <c r="D30" s="6">
        <f>IF(B30=0, "N/A", (C30-B30)/B30)</f>
        <v/>
      </c>
      <c r="E30" s="3" t="n">
        <v>23</v>
      </c>
      <c r="F30" s="3" t="n">
        <v>28</v>
      </c>
      <c r="G30" s="6">
        <f>IF(E30=0, "N/A", (F30-E30)/E30)</f>
        <v/>
      </c>
      <c r="H30" s="3" t="n">
        <v>87</v>
      </c>
      <c r="I30" s="3" t="n">
        <v>71</v>
      </c>
      <c r="J30" s="6">
        <f>IF(H30=0, "N/A", (I30-H30)/H30)</f>
        <v/>
      </c>
      <c r="K30" s="3">
        <f>B30+E30+H30</f>
        <v/>
      </c>
      <c r="L30" s="3">
        <f>C30+F30+I30</f>
        <v/>
      </c>
      <c r="M30" s="6">
        <f>IF(K30=0, "N/A", (L30-K30)/K30)</f>
        <v/>
      </c>
    </row>
    <row r="31">
      <c r="A31" s="2" t="inlineStr">
        <is>
          <t>Bermudas</t>
        </is>
      </c>
      <c r="B31" s="3" t="n"/>
      <c r="C31" s="3" t="n"/>
      <c r="D31" s="6">
        <f>IF(B31=0, "N/A", (C31-B31)/B31)</f>
        <v/>
      </c>
      <c r="E31" s="3" t="n">
        <v>3</v>
      </c>
      <c r="F31" s="3" t="n"/>
      <c r="G31" s="6">
        <f>IF(E31=0, "N/A", (F31-E31)/E31)</f>
        <v/>
      </c>
      <c r="H31" s="3" t="n"/>
      <c r="I31" s="3" t="n"/>
      <c r="J31" s="6">
        <f>IF(H31=0, "N/A", (I31-H31)/H31)</f>
        <v/>
      </c>
      <c r="K31" s="3">
        <f>B31+E31+H31</f>
        <v/>
      </c>
      <c r="L31" s="3">
        <f>C31+F31+I31</f>
        <v/>
      </c>
      <c r="M31" s="6">
        <f>IF(K31=0, "N/A", (L31-K31)/K31)</f>
        <v/>
      </c>
    </row>
    <row r="32">
      <c r="A32" s="2" t="inlineStr">
        <is>
          <t>Boxer</t>
        </is>
      </c>
      <c r="B32" s="3" t="n">
        <v>13</v>
      </c>
      <c r="C32" s="3" t="n">
        <v>18</v>
      </c>
      <c r="D32" s="6">
        <f>IF(B32=0, "N/A", (C32-B32)/B32)</f>
        <v/>
      </c>
      <c r="E32" s="3" t="n">
        <v>15</v>
      </c>
      <c r="F32" s="3" t="n">
        <v>15</v>
      </c>
      <c r="G32" s="6">
        <f>IF(E32=0, "N/A", (F32-E32)/E32)</f>
        <v/>
      </c>
      <c r="H32" s="3" t="n">
        <v>73</v>
      </c>
      <c r="I32" s="3" t="n">
        <v>41</v>
      </c>
      <c r="J32" s="6">
        <f>IF(H32=0, "N/A", (I32-H32)/H32)</f>
        <v/>
      </c>
      <c r="K32" s="3">
        <f>B32+E32+H32</f>
        <v/>
      </c>
      <c r="L32" s="3">
        <f>C32+F32+I32</f>
        <v/>
      </c>
      <c r="M32" s="6">
        <f>IF(K32=0, "N/A", (L32-K32)/K32)</f>
        <v/>
      </c>
    </row>
    <row r="33">
      <c r="A33" s="2" t="inlineStr">
        <is>
          <t>Buzo Cuello Redondo</t>
        </is>
      </c>
      <c r="B33" s="3" t="n">
        <v>73</v>
      </c>
      <c r="C33" s="3" t="n">
        <v>32</v>
      </c>
      <c r="D33" s="6">
        <f>IF(B33=0, "N/A", (C33-B33)/B33)</f>
        <v/>
      </c>
      <c r="E33" s="3" t="n">
        <v>47</v>
      </c>
      <c r="F33" s="3" t="n">
        <v>56</v>
      </c>
      <c r="G33" s="6">
        <f>IF(E33=0, "N/A", (F33-E33)/E33)</f>
        <v/>
      </c>
      <c r="H33" s="3" t="n">
        <v>170</v>
      </c>
      <c r="I33" s="3" t="n">
        <v>148</v>
      </c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Buzos C Capucha</t>
        </is>
      </c>
      <c r="B34" s="3" t="n">
        <v>37</v>
      </c>
      <c r="C34" s="3" t="n">
        <v>33</v>
      </c>
      <c r="D34" s="6">
        <f>IF(B34=0, "N/A", (C34-B34)/B34)</f>
        <v/>
      </c>
      <c r="E34" s="3" t="n">
        <v>40</v>
      </c>
      <c r="F34" s="3" t="n">
        <v>40</v>
      </c>
      <c r="G34" s="6">
        <f>IF(E34=0, "N/A", (F34-E34)/E34)</f>
        <v/>
      </c>
      <c r="H34" s="3" t="n">
        <v>169</v>
      </c>
      <c r="I34" s="3" t="n">
        <v>127</v>
      </c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Buzos C Capucha Orangutan</t>
        </is>
      </c>
      <c r="B35" s="3" t="n"/>
      <c r="C35" s="3" t="n">
        <v>16</v>
      </c>
      <c r="D35" s="6">
        <f>IF(B35=0, "N/A", (C35-B35)/B35)</f>
        <v/>
      </c>
      <c r="E35" s="3" t="n"/>
      <c r="F35" s="3" t="n">
        <v>12</v>
      </c>
      <c r="G35" s="6">
        <f>IF(E35=0, "N/A", (F35-E35)/E35)</f>
        <v/>
      </c>
      <c r="H35" s="3" t="n"/>
      <c r="I35" s="3" t="n">
        <v>48</v>
      </c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Buzos C Redondo Orangutan</t>
        </is>
      </c>
      <c r="B36" s="3" t="n"/>
      <c r="C36" s="3" t="n">
        <v>4</v>
      </c>
      <c r="D36" s="6">
        <f>IF(B36=0, "N/A", (C36-B36)/B36)</f>
        <v/>
      </c>
      <c r="E36" s="3" t="n"/>
      <c r="F36" s="3" t="n">
        <v>2</v>
      </c>
      <c r="G36" s="6">
        <f>IF(E36=0, "N/A", (F36-E36)/E36)</f>
        <v/>
      </c>
      <c r="H36" s="3" t="n"/>
      <c r="I36" s="3" t="n">
        <v>17</v>
      </c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Buzos C Redondo Rustico</t>
        </is>
      </c>
      <c r="B37" s="3" t="n"/>
      <c r="C37" s="3" t="n"/>
      <c r="D37" s="6">
        <f>IF(B37=0, "N/A", (C37-B37)/B37)</f>
        <v/>
      </c>
      <c r="E37" s="3" t="n"/>
      <c r="F37" s="3" t="n"/>
      <c r="G37" s="6">
        <f>IF(E37=0, "N/A", (F37-E37)/E37)</f>
        <v/>
      </c>
      <c r="H37" s="3" t="n"/>
      <c r="I37" s="3" t="n">
        <v>-1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Buzos Medio Cierre</t>
        </is>
      </c>
      <c r="B38" s="3" t="n">
        <v>8</v>
      </c>
      <c r="C38" s="3" t="n">
        <v>3</v>
      </c>
      <c r="D38" s="6">
        <f>IF(B38=0, "N/A", (C38-B38)/B38)</f>
        <v/>
      </c>
      <c r="E38" s="3" t="n">
        <v>2</v>
      </c>
      <c r="F38" s="3" t="n">
        <v>2</v>
      </c>
      <c r="G38" s="6">
        <f>IF(E38=0, "N/A", (F38-E38)/E38)</f>
        <v/>
      </c>
      <c r="H38" s="3" t="n">
        <v>15</v>
      </c>
      <c r="I38" s="3" t="n">
        <v>2</v>
      </c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Calzado</t>
        </is>
      </c>
      <c r="B39" s="3" t="n"/>
      <c r="C39" s="3" t="n"/>
      <c r="D39" s="6">
        <f>IF(B39=0, "N/A", (C39-B39)/B39)</f>
        <v/>
      </c>
      <c r="E39" s="3" t="n"/>
      <c r="F39" s="3" t="n"/>
      <c r="G39" s="6">
        <f>IF(E39=0, "N/A", (F39-E39)/E39)</f>
        <v/>
      </c>
      <c r="H39" s="3" t="n"/>
      <c r="I39" s="3" t="n"/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Camisas</t>
        </is>
      </c>
      <c r="B40" s="3" t="n">
        <v>6</v>
      </c>
      <c r="C40" s="3" t="n">
        <v>3</v>
      </c>
      <c r="D40" s="6">
        <f>IF(B40=0, "N/A", (C40-B40)/B40)</f>
        <v/>
      </c>
      <c r="E40" s="3" t="n">
        <v>4</v>
      </c>
      <c r="F40" s="3" t="n">
        <v>3</v>
      </c>
      <c r="G40" s="6">
        <f>IF(E40=0, "N/A", (F40-E40)/E40)</f>
        <v/>
      </c>
      <c r="H40" s="3" t="n">
        <v>15</v>
      </c>
      <c r="I40" s="3" t="n">
        <v>1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Camisetas Manga Larga</t>
        </is>
      </c>
      <c r="B41" s="3" t="n">
        <v>26</v>
      </c>
      <c r="C41" s="3" t="n">
        <v>10</v>
      </c>
      <c r="D41" s="6">
        <f>IF(B41=0, "N/A", (C41-B41)/B41)</f>
        <v/>
      </c>
      <c r="E41" s="3" t="n">
        <v>11</v>
      </c>
      <c r="F41" s="3" t="n">
        <v>13</v>
      </c>
      <c r="G41" s="6">
        <f>IF(E41=0, "N/A", (F41-E41)/E41)</f>
        <v/>
      </c>
      <c r="H41" s="3" t="n">
        <v>38</v>
      </c>
      <c r="I41" s="3" t="n">
        <v>7</v>
      </c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Camisetas Manga Larga Orangutan</t>
        </is>
      </c>
      <c r="B42" s="3" t="n"/>
      <c r="C42" s="3" t="n">
        <v>5</v>
      </c>
      <c r="D42" s="6">
        <f>IF(B42=0, "N/A", (C42-B42)/B42)</f>
        <v/>
      </c>
      <c r="E42" s="3" t="n"/>
      <c r="F42" s="3" t="n">
        <v>4</v>
      </c>
      <c r="G42" s="6">
        <f>IF(E42=0, "N/A", (F42-E42)/E42)</f>
        <v/>
      </c>
      <c r="H42" s="3" t="n"/>
      <c r="I42" s="3" t="n">
        <v>28</v>
      </c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Campera S Capucha</t>
        </is>
      </c>
      <c r="B43" s="3" t="n">
        <v>8</v>
      </c>
      <c r="C43" s="3" t="n">
        <v>1</v>
      </c>
      <c r="D43" s="6">
        <f>IF(B43=0, "N/A", (C43-B43)/B43)</f>
        <v/>
      </c>
      <c r="E43" s="3" t="n">
        <v>9</v>
      </c>
      <c r="F43" s="3" t="n">
        <v>2</v>
      </c>
      <c r="G43" s="6">
        <f>IF(E43=0, "N/A", (F43-E43)/E43)</f>
        <v/>
      </c>
      <c r="H43" s="3" t="n">
        <v>35</v>
      </c>
      <c r="I43" s="3" t="n">
        <v>8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Camperas Capucha</t>
        </is>
      </c>
      <c r="B44" s="3" t="n">
        <v>7</v>
      </c>
      <c r="C44" s="3" t="n">
        <v>21</v>
      </c>
      <c r="D44" s="6">
        <f>IF(B44=0, "N/A", (C44-B44)/B44)</f>
        <v/>
      </c>
      <c r="E44" s="3" t="n">
        <v>6</v>
      </c>
      <c r="F44" s="3" t="n">
        <v>20</v>
      </c>
      <c r="G44" s="6">
        <f>IF(E44=0, "N/A", (F44-E44)/E44)</f>
        <v/>
      </c>
      <c r="H44" s="3" t="n">
        <v>55</v>
      </c>
      <c r="I44" s="3" t="n">
        <v>28</v>
      </c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Camperas De Abrigo</t>
        </is>
      </c>
      <c r="B45" s="3" t="n">
        <v>9</v>
      </c>
      <c r="C45" s="3" t="n">
        <v>6</v>
      </c>
      <c r="D45" s="6">
        <f>IF(B45=0, "N/A", (C45-B45)/B45)</f>
        <v/>
      </c>
      <c r="E45" s="3" t="n">
        <v>9</v>
      </c>
      <c r="F45" s="3" t="n">
        <v>13</v>
      </c>
      <c r="G45" s="6">
        <f>IF(E45=0, "N/A", (F45-E45)/E45)</f>
        <v/>
      </c>
      <c r="H45" s="3" t="n">
        <v>18</v>
      </c>
      <c r="I45" s="3" t="n">
        <v>22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Chombas</t>
        </is>
      </c>
      <c r="B46" s="3" t="n">
        <v>28</v>
      </c>
      <c r="C46" s="3" t="n">
        <v>8</v>
      </c>
      <c r="D46" s="6">
        <f>IF(B46=0, "N/A", (C46-B46)/B46)</f>
        <v/>
      </c>
      <c r="E46" s="3" t="n">
        <v>15</v>
      </c>
      <c r="F46" s="3" t="n">
        <v>6</v>
      </c>
      <c r="G46" s="6">
        <f>IF(E46=0, "N/A", (F46-E46)/E46)</f>
        <v/>
      </c>
      <c r="H46" s="3" t="n">
        <v>13</v>
      </c>
      <c r="I46" s="3" t="n">
        <v>1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Chombas Manga Larga</t>
        </is>
      </c>
      <c r="B47" s="3" t="n"/>
      <c r="C47" s="3" t="n">
        <v>1</v>
      </c>
      <c r="D47" s="6">
        <f>IF(B47=0, "N/A", (C47-B47)/B47)</f>
        <v/>
      </c>
      <c r="E47" s="3" t="n">
        <v>1</v>
      </c>
      <c r="F47" s="3" t="n">
        <v>8</v>
      </c>
      <c r="G47" s="6">
        <f>IF(E47=0, "N/A", (F47-E47)/E47)</f>
        <v/>
      </c>
      <c r="H47" s="3" t="n">
        <v>2</v>
      </c>
      <c r="I47" s="3" t="n">
        <v>-3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Jeans</t>
        </is>
      </c>
      <c r="B48" s="3" t="n">
        <v>56</v>
      </c>
      <c r="C48" s="3" t="n">
        <v>39</v>
      </c>
      <c r="D48" s="6">
        <f>IF(B48=0, "N/A", (C48-B48)/B48)</f>
        <v/>
      </c>
      <c r="E48" s="3" t="n">
        <v>64</v>
      </c>
      <c r="F48" s="3" t="n">
        <v>49</v>
      </c>
      <c r="G48" s="6">
        <f>IF(E48=0, "N/A", (F48-E48)/E48)</f>
        <v/>
      </c>
      <c r="H48" s="3" t="n">
        <v>268</v>
      </c>
      <c r="I48" s="3" t="n">
        <v>273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Jogging</t>
        </is>
      </c>
      <c r="B49" s="3" t="n">
        <v>16</v>
      </c>
      <c r="C49" s="3" t="n">
        <v>4</v>
      </c>
      <c r="D49" s="6">
        <f>IF(B49=0, "N/A", (C49-B49)/B49)</f>
        <v/>
      </c>
      <c r="E49" s="3" t="n">
        <v>9</v>
      </c>
      <c r="F49" s="3" t="n">
        <v>9</v>
      </c>
      <c r="G49" s="6">
        <f>IF(E49=0, "N/A", (F49-E49)/E49)</f>
        <v/>
      </c>
      <c r="H49" s="3" t="n">
        <v>66</v>
      </c>
      <c r="I49" s="3" t="n">
        <v>43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Musculosas</t>
        </is>
      </c>
      <c r="B50" s="3" t="n"/>
      <c r="C50" s="3" t="n"/>
      <c r="D50" s="6">
        <f>IF(B50=0, "N/A", (C50-B50)/B50)</f>
        <v/>
      </c>
      <c r="E50" s="3" t="n"/>
      <c r="F50" s="3" t="n"/>
      <c r="G50" s="6">
        <f>IF(E50=0, "N/A", (F50-E50)/E50)</f>
        <v/>
      </c>
      <c r="H50" s="3" t="n">
        <v>2</v>
      </c>
      <c r="I50" s="3" t="n"/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Otro</t>
        </is>
      </c>
      <c r="B51" s="3" t="n"/>
      <c r="C51" s="3" t="n"/>
      <c r="D51" s="6">
        <f>IF(B51=0, "N/A", (C51-B51)/B51)</f>
        <v/>
      </c>
      <c r="E51" s="3" t="n">
        <v>2</v>
      </c>
      <c r="F51" s="3" t="n"/>
      <c r="G51" s="6">
        <f>IF(E51=0, "N/A", (F51-E51)/E51)</f>
        <v/>
      </c>
      <c r="H51" s="3" t="n"/>
      <c r="I51" s="3" t="n">
        <v>1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Remeras</t>
        </is>
      </c>
      <c r="B52" s="3" t="n">
        <v>78</v>
      </c>
      <c r="C52" s="3" t="n">
        <v>35</v>
      </c>
      <c r="D52" s="6">
        <f>IF(B52=0, "N/A", (C52-B52)/B52)</f>
        <v/>
      </c>
      <c r="E52" s="3" t="n">
        <v>129</v>
      </c>
      <c r="F52" s="3" t="n">
        <v>53</v>
      </c>
      <c r="G52" s="6">
        <f>IF(E52=0, "N/A", (F52-E52)/E52)</f>
        <v/>
      </c>
      <c r="H52" s="3" t="n">
        <v>261</v>
      </c>
      <c r="I52" s="3" t="n">
        <v>234</v>
      </c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Sweaters</t>
        </is>
      </c>
      <c r="B53" s="3" t="n">
        <v>6</v>
      </c>
      <c r="C53" s="3" t="n">
        <v>8</v>
      </c>
      <c r="D53" s="6">
        <f>IF(B53=0, "N/A", (C53-B53)/B53)</f>
        <v/>
      </c>
      <c r="E53" s="3" t="n">
        <v>17</v>
      </c>
      <c r="F53" s="3" t="n">
        <v>7</v>
      </c>
      <c r="G53" s="6">
        <f>IF(E53=0, "N/A", (F53-E53)/E53)</f>
        <v/>
      </c>
      <c r="H53" s="3" t="n">
        <v>5</v>
      </c>
      <c r="I53" s="3" t="n">
        <v>4</v>
      </c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Trajes De Baño</t>
        </is>
      </c>
      <c r="B54" s="3" t="n"/>
      <c r="C54" s="3" t="n"/>
      <c r="D54" s="6">
        <f>IF(B54=0, "N/A", (C54-B54)/B54)</f>
        <v/>
      </c>
      <c r="E54" s="3" t="n">
        <v>3</v>
      </c>
      <c r="F54" s="3" t="n"/>
      <c r="G54" s="6">
        <f>IF(E54=0, "N/A", (F54-E54)/E54)</f>
        <v/>
      </c>
      <c r="H54" s="3" t="n"/>
      <c r="I54" s="3" t="n"/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5" t="inlineStr">
        <is>
          <t>Totals</t>
        </is>
      </c>
      <c r="B55" s="4">
        <f>SUM($B30:$B54)</f>
        <v/>
      </c>
      <c r="C55" s="4">
        <f>SUM($C30:$C54)</f>
        <v/>
      </c>
      <c r="D55" s="7">
        <f>IF(B55=0, "N/A", (C55-B55)/B55)</f>
        <v/>
      </c>
      <c r="E55" s="4">
        <f>SUM($E30:$E54)</f>
        <v/>
      </c>
      <c r="F55" s="4">
        <f>SUM($F30:$F54)</f>
        <v/>
      </c>
      <c r="G55" s="7">
        <f>IF(E55=0, "N/A", (F55-E55)/E55)</f>
        <v/>
      </c>
      <c r="H55" s="4">
        <f>SUM($H30:$H54)</f>
        <v/>
      </c>
      <c r="I55" s="4">
        <f>SUM($I30:$I54)</f>
        <v/>
      </c>
      <c r="J55" s="7">
        <f>IF(H55=0, "N/A", (I55-H55)/H55)</f>
        <v/>
      </c>
      <c r="K55" s="4">
        <f>SUM($K30:$K54)</f>
        <v/>
      </c>
      <c r="L55" s="4">
        <f>SUM($L30:$L54)</f>
        <v/>
      </c>
      <c r="M55" s="7">
        <f>IF(K55=0, "N/A", (L55-K55)/K55)</f>
        <v/>
      </c>
    </row>
    <row r="58">
      <c r="A58" s="1" t="inlineStr">
        <is>
          <t>YoY Units Sold Comparison - Branch Group 2</t>
        </is>
      </c>
    </row>
    <row r="59">
      <c r="B59" s="1" t="inlineStr">
        <is>
          <t>VIRREYES</t>
        </is>
      </c>
      <c r="C59" s="1" t="n"/>
      <c r="D59" s="1" t="n"/>
    </row>
    <row r="60">
      <c r="A60" s="1" t="inlineStr">
        <is>
          <t>Familias</t>
        </is>
      </c>
      <c r="B60" s="1" t="n">
        <v>2025</v>
      </c>
      <c r="C60" s="1" t="n">
        <v>2026</v>
      </c>
      <c r="D60" s="1" t="inlineStr">
        <is>
          <t>%</t>
        </is>
      </c>
    </row>
    <row r="61">
      <c r="A61" s="2" t="inlineStr">
        <is>
          <t>Accesorios</t>
        </is>
      </c>
      <c r="B61" s="3" t="n">
        <v>5</v>
      </c>
      <c r="C61" s="3" t="n">
        <v>1</v>
      </c>
      <c r="D61" s="6">
        <f>IF(B61=0, "N/A", (C61-B61)/B61)</f>
        <v/>
      </c>
    </row>
    <row r="62">
      <c r="A62" s="2" t="inlineStr">
        <is>
          <t>Boxer</t>
        </is>
      </c>
      <c r="B62" s="3" t="n">
        <v>1</v>
      </c>
      <c r="C62" s="3" t="n">
        <v>6</v>
      </c>
      <c r="D62" s="6">
        <f>IF(B62=0, "N/A", (C62-B62)/B62)</f>
        <v/>
      </c>
    </row>
    <row r="63">
      <c r="A63" s="2" t="inlineStr">
        <is>
          <t>Buzo Cuello Redondo</t>
        </is>
      </c>
      <c r="B63" s="3" t="n">
        <v>6</v>
      </c>
      <c r="C63" s="3" t="n">
        <v>1</v>
      </c>
      <c r="D63" s="6">
        <f>IF(B63=0, "N/A", (C63-B63)/B63)</f>
        <v/>
      </c>
    </row>
    <row r="64">
      <c r="A64" s="2" t="inlineStr">
        <is>
          <t>Buzos C Capucha</t>
        </is>
      </c>
      <c r="B64" s="3" t="n">
        <v>11</v>
      </c>
      <c r="C64" s="3" t="n">
        <v>3</v>
      </c>
      <c r="D64" s="6">
        <f>IF(B64=0, "N/A", (C64-B64)/B64)</f>
        <v/>
      </c>
    </row>
    <row r="65">
      <c r="A65" s="2" t="inlineStr">
        <is>
          <t>Buzos C Capucha Orangutan</t>
        </is>
      </c>
      <c r="B65" s="3" t="n"/>
      <c r="C65" s="3" t="n">
        <v>4</v>
      </c>
      <c r="D65" s="6">
        <f>IF(B65=0, "N/A", (C65-B65)/B65)</f>
        <v/>
      </c>
    </row>
    <row r="66">
      <c r="A66" s="2" t="inlineStr">
        <is>
          <t>Buzos C Redondo Orangutan</t>
        </is>
      </c>
      <c r="B66" s="3" t="n"/>
      <c r="C66" s="3" t="n">
        <v>6</v>
      </c>
      <c r="D66" s="6">
        <f>IF(B66=0, "N/A", (C66-B66)/B66)</f>
        <v/>
      </c>
    </row>
    <row r="67">
      <c r="A67" s="2" t="inlineStr">
        <is>
          <t>Buzos Medio Cierre</t>
        </is>
      </c>
      <c r="B67" s="3" t="n">
        <v>2</v>
      </c>
      <c r="C67" s="3" t="n"/>
      <c r="D67" s="6">
        <f>IF(B67=0, "N/A", (C67-B67)/B67)</f>
        <v/>
      </c>
    </row>
    <row r="68">
      <c r="A68" s="2" t="inlineStr">
        <is>
          <t>Camisetas Manga Larga</t>
        </is>
      </c>
      <c r="B68" s="3" t="n">
        <v>4</v>
      </c>
      <c r="C68" s="3" t="n"/>
      <c r="D68" s="6">
        <f>IF(B68=0, "N/A", (C68-B68)/B68)</f>
        <v/>
      </c>
    </row>
    <row r="69">
      <c r="A69" s="2" t="inlineStr">
        <is>
          <t>Camisetas Manga Larga Orangutan</t>
        </is>
      </c>
      <c r="B69" s="3" t="n"/>
      <c r="C69" s="3" t="n">
        <v>-2</v>
      </c>
      <c r="D69" s="6">
        <f>IF(B69=0, "N/A", (C69-B69)/B69)</f>
        <v/>
      </c>
    </row>
    <row r="70">
      <c r="A70" s="2" t="inlineStr">
        <is>
          <t>Camperas Capucha</t>
        </is>
      </c>
      <c r="B70" s="3" t="n">
        <v>2</v>
      </c>
      <c r="C70" s="3" t="n">
        <v>3</v>
      </c>
      <c r="D70" s="6">
        <f>IF(B70=0, "N/A", (C70-B70)/B70)</f>
        <v/>
      </c>
    </row>
    <row r="71">
      <c r="A71" s="2" t="inlineStr">
        <is>
          <t>Camperas De Abrigo</t>
        </is>
      </c>
      <c r="B71" s="3" t="n">
        <v>2</v>
      </c>
      <c r="C71" s="3" t="n">
        <v>3</v>
      </c>
      <c r="D71" s="6">
        <f>IF(B71=0, "N/A", (C71-B71)/B71)</f>
        <v/>
      </c>
    </row>
    <row r="72">
      <c r="A72" s="2" t="inlineStr">
        <is>
          <t>Jeans</t>
        </is>
      </c>
      <c r="B72" s="3" t="n">
        <v>9</v>
      </c>
      <c r="C72" s="3" t="n">
        <v>20</v>
      </c>
      <c r="D72" s="6">
        <f>IF(B72=0, "N/A", (C72-B72)/B72)</f>
        <v/>
      </c>
    </row>
    <row r="73">
      <c r="A73" s="2" t="inlineStr">
        <is>
          <t>Jogging</t>
        </is>
      </c>
      <c r="B73" s="3" t="n">
        <v>4</v>
      </c>
      <c r="C73" s="3" t="n">
        <v>6</v>
      </c>
      <c r="D73" s="6">
        <f>IF(B73=0, "N/A", (C73-B73)/B73)</f>
        <v/>
      </c>
    </row>
    <row r="74">
      <c r="A74" s="2" t="inlineStr">
        <is>
          <t>Remeras</t>
        </is>
      </c>
      <c r="B74" s="3" t="n">
        <v>27</v>
      </c>
      <c r="C74" s="3" t="n">
        <v>15</v>
      </c>
      <c r="D74" s="6">
        <f>IF(B74=0, "N/A", (C74-B74)/B74)</f>
        <v/>
      </c>
    </row>
    <row r="75">
      <c r="A75" s="2" t="inlineStr">
        <is>
          <t>Sweaters</t>
        </is>
      </c>
      <c r="B75" s="3" t="n">
        <v>5</v>
      </c>
      <c r="C75" s="3" t="n"/>
      <c r="D75" s="6">
        <f>IF(B75=0, "N/A", (C75-B75)/B75)</f>
        <v/>
      </c>
    </row>
    <row r="76">
      <c r="A76" s="5" t="inlineStr">
        <is>
          <t>Totals</t>
        </is>
      </c>
      <c r="B76" s="4">
        <f>SUM($B61:$B75)</f>
        <v/>
      </c>
      <c r="C76" s="4">
        <f>SUM($C61:$C75)</f>
        <v/>
      </c>
      <c r="D76" s="7">
        <f>IF(B76=0, "N/A", (C76-B76)/B76)</f>
        <v/>
      </c>
    </row>
    <row r="79">
      <c r="A79" s="1" t="inlineStr">
        <is>
          <t>Sales Amount from July 01, 2026 to July 31, 2026</t>
        </is>
      </c>
    </row>
    <row r="80">
      <c r="A80" s="1" t="inlineStr">
        <is>
          <t>Familias</t>
        </is>
      </c>
      <c r="B80" s="1" t="inlineStr">
        <is>
          <t>LIBERT.R</t>
        </is>
      </c>
      <c r="C80" s="1" t="inlineStr">
        <is>
          <t>PASO.R</t>
        </is>
      </c>
      <c r="D80" s="1" t="inlineStr">
        <is>
          <t>P.OESTE</t>
        </is>
      </c>
      <c r="E80" s="1" t="inlineStr">
        <is>
          <t>VIRREYES</t>
        </is>
      </c>
      <c r="F80" s="1" t="inlineStr">
        <is>
          <t>Totals</t>
        </is>
      </c>
    </row>
    <row r="81">
      <c r="A81" s="2" t="inlineStr">
        <is>
          <t>Accesorios</t>
        </is>
      </c>
      <c r="B81" s="8" t="n">
        <v>357084.1834</v>
      </c>
      <c r="C81" s="8" t="n">
        <v>405168.3922</v>
      </c>
      <c r="D81" s="8" t="n">
        <v>1226284.3892</v>
      </c>
      <c r="E81" s="8" t="n">
        <v>26100.0009</v>
      </c>
      <c r="F81" s="9">
        <f>B81+C81+D81+E81</f>
        <v/>
      </c>
    </row>
    <row r="82">
      <c r="A82" s="2" t="inlineStr">
        <is>
          <t>Boxer</t>
        </is>
      </c>
      <c r="B82" s="8" t="n">
        <v>265728.2699</v>
      </c>
      <c r="C82" s="8" t="n">
        <v>223500</v>
      </c>
      <c r="D82" s="8" t="n">
        <v>602958.8603000001</v>
      </c>
      <c r="E82" s="8" t="n">
        <v>87000</v>
      </c>
      <c r="F82" s="9">
        <f>B82+C82+D82+E82</f>
        <v/>
      </c>
    </row>
    <row r="83">
      <c r="A83" s="2" t="inlineStr">
        <is>
          <t>Buzo Cuello Redondo</t>
        </is>
      </c>
      <c r="B83" s="8" t="n">
        <v>1560096.2485</v>
      </c>
      <c r="C83" s="8" t="n">
        <v>2632769.8194</v>
      </c>
      <c r="D83" s="8" t="n">
        <v>7666483.3152</v>
      </c>
      <c r="E83" s="8" t="n">
        <v>34200.0008</v>
      </c>
      <c r="F83" s="9">
        <f>B83+C83+D83+E83</f>
        <v/>
      </c>
    </row>
    <row r="84">
      <c r="A84" s="2" t="inlineStr">
        <is>
          <t>Buzos C Capucha</t>
        </is>
      </c>
      <c r="B84" s="8" t="n">
        <v>1801698.1462</v>
      </c>
      <c r="C84" s="8" t="n">
        <v>2327567.5518</v>
      </c>
      <c r="D84" s="8" t="n">
        <v>7939828.4042</v>
      </c>
      <c r="E84" s="8" t="n">
        <v>140700</v>
      </c>
      <c r="F84" s="9">
        <f>B84+C84+D84+E84</f>
        <v/>
      </c>
    </row>
    <row r="85">
      <c r="A85" s="2" t="inlineStr">
        <is>
          <t>Buzos C Capucha Orangutan</t>
        </is>
      </c>
      <c r="B85" s="8" t="n">
        <v>823200.1662</v>
      </c>
      <c r="C85" s="8" t="n">
        <v>598339.2602</v>
      </c>
      <c r="D85" s="8" t="n">
        <v>2493661.0683</v>
      </c>
      <c r="E85" s="8" t="n">
        <v>179639.9973</v>
      </c>
      <c r="F85" s="9">
        <f>B85+C85+D85+E85</f>
        <v/>
      </c>
    </row>
    <row r="86">
      <c r="A86" s="2" t="inlineStr">
        <is>
          <t>Buzos C Redondo Orangutan</t>
        </is>
      </c>
      <c r="B86" s="8" t="n">
        <v>159600</v>
      </c>
      <c r="C86" s="8" t="n">
        <v>75800</v>
      </c>
      <c r="D86" s="8" t="n">
        <v>654876.6838</v>
      </c>
      <c r="E86" s="8" t="n">
        <v>204729.9978</v>
      </c>
      <c r="F86" s="9">
        <f>B86+C86+D86+E86</f>
        <v/>
      </c>
    </row>
    <row r="87">
      <c r="A87" s="2" t="inlineStr">
        <is>
          <t>Buzos C Redondo Rustico</t>
        </is>
      </c>
      <c r="B87" s="8" t="n"/>
      <c r="C87" s="8" t="n"/>
      <c r="D87" s="8" t="n">
        <v>-39000</v>
      </c>
      <c r="E87" s="8" t="n"/>
      <c r="F87" s="9">
        <f>B87+C87+D87+E87</f>
        <v/>
      </c>
    </row>
    <row r="88">
      <c r="A88" s="2" t="inlineStr">
        <is>
          <t>Buzos Medio Cierre</t>
        </is>
      </c>
      <c r="B88" s="8" t="n">
        <v>141400</v>
      </c>
      <c r="C88" s="8" t="n">
        <v>78710</v>
      </c>
      <c r="D88" s="8" t="n">
        <v>73200</v>
      </c>
      <c r="E88" s="8" t="n"/>
      <c r="F88" s="9">
        <f>B88+C88+D88+E88</f>
        <v/>
      </c>
    </row>
    <row r="89">
      <c r="A89" s="2" t="inlineStr">
        <is>
          <t>Camisas</t>
        </is>
      </c>
      <c r="B89" s="8" t="n">
        <v>117900</v>
      </c>
      <c r="C89" s="8" t="n">
        <v>174910</v>
      </c>
      <c r="D89" s="8" t="n">
        <v>54000</v>
      </c>
      <c r="E89" s="8" t="n"/>
      <c r="F89" s="9">
        <f>B89+C89+D89+E89</f>
        <v/>
      </c>
    </row>
    <row r="90">
      <c r="A90" s="2" t="inlineStr">
        <is>
          <t>Camisetas Manga Larga</t>
        </is>
      </c>
      <c r="B90" s="8" t="n">
        <v>260765.8162</v>
      </c>
      <c r="C90" s="8" t="n">
        <v>332741.4418</v>
      </c>
      <c r="D90" s="8" t="n">
        <v>183400</v>
      </c>
      <c r="E90" s="8" t="n"/>
      <c r="F90" s="9">
        <f>B90+C90+D90+E90</f>
        <v/>
      </c>
    </row>
    <row r="91">
      <c r="A91" s="2" t="inlineStr">
        <is>
          <t>Camisetas Manga Larga Orangutan</t>
        </is>
      </c>
      <c r="B91" s="8" t="n">
        <v>122150.0004</v>
      </c>
      <c r="C91" s="8" t="n">
        <v>103600</v>
      </c>
      <c r="D91" s="8" t="n">
        <v>673276.9828</v>
      </c>
      <c r="E91" s="8" t="n">
        <v>-43800</v>
      </c>
      <c r="F91" s="9">
        <f>B91+C91+D91+E91</f>
        <v/>
      </c>
    </row>
    <row r="92">
      <c r="A92" s="2" t="inlineStr">
        <is>
          <t>Campera S Capucha</t>
        </is>
      </c>
      <c r="B92" s="8" t="n">
        <v>79000</v>
      </c>
      <c r="C92" s="8" t="n">
        <v>114500</v>
      </c>
      <c r="D92" s="8" t="n">
        <v>561000</v>
      </c>
      <c r="E92" s="8" t="n"/>
      <c r="F92" s="9">
        <f>B92+C92+D92+E92</f>
        <v/>
      </c>
    </row>
    <row r="93">
      <c r="A93" s="2" t="inlineStr">
        <is>
          <t>Camperas Capucha</t>
        </is>
      </c>
      <c r="B93" s="8" t="n">
        <v>1300600</v>
      </c>
      <c r="C93" s="8" t="n">
        <v>1257980</v>
      </c>
      <c r="D93" s="8" t="n">
        <v>1855971.8127</v>
      </c>
      <c r="E93" s="8" t="n">
        <v>162810</v>
      </c>
      <c r="F93" s="9">
        <f>B93+C93+D93+E93</f>
        <v/>
      </c>
    </row>
    <row r="94">
      <c r="A94" s="2" t="inlineStr">
        <is>
          <t>Camperas De Abrigo</t>
        </is>
      </c>
      <c r="B94" s="8" t="n">
        <v>446117.6494</v>
      </c>
      <c r="C94" s="8" t="n">
        <v>866110</v>
      </c>
      <c r="D94" s="8" t="n">
        <v>1567600</v>
      </c>
      <c r="E94" s="8" t="n">
        <v>178700</v>
      </c>
      <c r="F94" s="9">
        <f>B94+C94+D94+E94</f>
        <v/>
      </c>
    </row>
    <row r="95">
      <c r="A95" s="2" t="inlineStr">
        <is>
          <t>Chombas</t>
        </is>
      </c>
      <c r="B95" s="8" t="n">
        <v>252858.3113</v>
      </c>
      <c r="C95" s="8" t="n">
        <v>196500</v>
      </c>
      <c r="D95" s="8" t="n">
        <v>8900</v>
      </c>
      <c r="E95" s="8" t="n"/>
      <c r="F95" s="9">
        <f>B95+C95+D95+E95</f>
        <v/>
      </c>
    </row>
    <row r="96">
      <c r="A96" s="2" t="inlineStr">
        <is>
          <t>Chombas Manga Larga</t>
        </is>
      </c>
      <c r="B96" s="8" t="n">
        <v>33896.1567</v>
      </c>
      <c r="C96" s="8" t="n">
        <v>283610</v>
      </c>
      <c r="D96" s="8" t="n">
        <v>-154000</v>
      </c>
      <c r="E96" s="8" t="n"/>
      <c r="F96" s="9">
        <f>B96+C96+D96+E96</f>
        <v/>
      </c>
    </row>
    <row r="97">
      <c r="A97" s="2" t="inlineStr">
        <is>
          <t>Jeans</t>
        </is>
      </c>
      <c r="B97" s="8" t="n">
        <v>2452469.9813</v>
      </c>
      <c r="C97" s="8" t="n">
        <v>2947601.0368</v>
      </c>
      <c r="D97" s="8" t="n">
        <v>17231805.2298</v>
      </c>
      <c r="E97" s="8" t="n">
        <v>821760.0021</v>
      </c>
      <c r="F97" s="9">
        <f>B97+C97+D97+E97</f>
        <v/>
      </c>
    </row>
    <row r="98">
      <c r="A98" s="2" t="inlineStr">
        <is>
          <t>Jogging</t>
        </is>
      </c>
      <c r="B98" s="8" t="n">
        <v>206550</v>
      </c>
      <c r="C98" s="8" t="n">
        <v>473300</v>
      </c>
      <c r="D98" s="8" t="n">
        <v>2292081.7542</v>
      </c>
      <c r="E98" s="8" t="n">
        <v>195699.9998</v>
      </c>
      <c r="F98" s="9">
        <f>B98+C98+D98+E98</f>
        <v/>
      </c>
    </row>
    <row r="99">
      <c r="A99" s="2" t="inlineStr">
        <is>
          <t>Otro</t>
        </is>
      </c>
      <c r="B99" s="8" t="n"/>
      <c r="C99" s="8" t="n"/>
      <c r="D99" s="8" t="n">
        <v>55900</v>
      </c>
      <c r="E99" s="8" t="n"/>
      <c r="F99" s="9">
        <f>B99+C99+D99+E99</f>
        <v/>
      </c>
    </row>
    <row r="100">
      <c r="A100" s="2" t="inlineStr">
        <is>
          <t>Remeras</t>
        </is>
      </c>
      <c r="B100" s="8" t="n">
        <v>858108.0060000001</v>
      </c>
      <c r="C100" s="8" t="n">
        <v>1358247.4978</v>
      </c>
      <c r="D100" s="8" t="n">
        <v>5670075.8477</v>
      </c>
      <c r="E100" s="8" t="n">
        <v>211190.0013</v>
      </c>
      <c r="F100" s="9">
        <f>B100+C100+D100+E100</f>
        <v/>
      </c>
    </row>
    <row r="101">
      <c r="A101" s="2" t="inlineStr">
        <is>
          <t>Sweaters</t>
        </is>
      </c>
      <c r="B101" s="8" t="n">
        <v>351367.0645</v>
      </c>
      <c r="C101" s="8" t="n">
        <v>312732</v>
      </c>
      <c r="D101" s="8" t="n">
        <v>179581.8118</v>
      </c>
      <c r="E101" s="8" t="n"/>
      <c r="F101" s="9">
        <f>B101+C101+D101+E101</f>
        <v/>
      </c>
    </row>
    <row r="102">
      <c r="A102" s="5" t="inlineStr">
        <is>
          <t>Totals</t>
        </is>
      </c>
      <c r="B102" s="9">
        <f>SUM($B$81:$B$101)</f>
        <v/>
      </c>
      <c r="C102" s="9">
        <f>SUM($C$81:$C$101)</f>
        <v/>
      </c>
      <c r="D102" s="9">
        <f>SUM($D$81:$D$101)</f>
        <v/>
      </c>
      <c r="E102" s="9">
        <f>SUM($E$81:$E$101)</f>
        <v/>
      </c>
      <c r="F102" s="9">
        <f>SUM($F$81:$F$101)</f>
        <v/>
      </c>
    </row>
    <row r="105">
      <c r="A105" s="1" t="inlineStr">
        <is>
          <t>YoY Sales Amount Comparison - Branch Group 1</t>
        </is>
      </c>
    </row>
    <row r="106">
      <c r="B106" s="1" t="inlineStr">
        <is>
          <t>LIBERT.R</t>
        </is>
      </c>
      <c r="C106" s="1" t="n"/>
      <c r="D106" s="1" t="n"/>
      <c r="E106" s="1" t="inlineStr">
        <is>
          <t>PASO.R</t>
        </is>
      </c>
      <c r="F106" s="1" t="n"/>
      <c r="G106" s="1" t="n"/>
      <c r="H106" s="1" t="inlineStr">
        <is>
          <t>P.OESTE</t>
        </is>
      </c>
      <c r="I106" s="1" t="n"/>
      <c r="J106" s="1" t="n"/>
      <c r="K106" s="1" t="inlineStr">
        <is>
          <t>Global</t>
        </is>
      </c>
      <c r="L106" s="1" t="n"/>
      <c r="M106" s="1" t="n"/>
    </row>
    <row r="107">
      <c r="A107" s="1" t="inlineStr">
        <is>
          <t>Familias</t>
        </is>
      </c>
      <c r="B107" s="1" t="n">
        <v>2025</v>
      </c>
      <c r="C107" s="1" t="n">
        <v>2026</v>
      </c>
      <c r="D107" s="1" t="inlineStr">
        <is>
          <t>%</t>
        </is>
      </c>
      <c r="E107" s="1" t="n">
        <v>2025</v>
      </c>
      <c r="F107" s="1" t="n">
        <v>2026</v>
      </c>
      <c r="G107" s="1" t="inlineStr">
        <is>
          <t>%</t>
        </is>
      </c>
      <c r="H107" s="1" t="n">
        <v>2025</v>
      </c>
      <c r="I107" s="1" t="n">
        <v>2026</v>
      </c>
      <c r="J107" s="1" t="inlineStr">
        <is>
          <t>%</t>
        </is>
      </c>
      <c r="K107" s="1" t="n">
        <v>2025</v>
      </c>
      <c r="L107" s="1" t="n">
        <v>2026</v>
      </c>
      <c r="M107" s="1" t="inlineStr">
        <is>
          <t>%</t>
        </is>
      </c>
    </row>
    <row r="108">
      <c r="A108" s="2" t="inlineStr">
        <is>
          <t>Accesorios</t>
        </is>
      </c>
      <c r="B108" s="8" t="n">
        <v>309993.6089</v>
      </c>
      <c r="C108" s="8" t="n">
        <v>357084.1834</v>
      </c>
      <c r="D108" s="6">
        <f>IF(B108=0, "N/A", (C108-B108)/B108)</f>
        <v/>
      </c>
      <c r="E108" s="8" t="n">
        <v>410168.5316</v>
      </c>
      <c r="F108" s="8" t="n">
        <v>405168.3922</v>
      </c>
      <c r="G108" s="6">
        <f>IF(E108=0, "N/A", (F108-E108)/E108)</f>
        <v/>
      </c>
      <c r="H108" s="8" t="n">
        <v>1270010</v>
      </c>
      <c r="I108" s="8" t="n">
        <v>1226284.3892</v>
      </c>
      <c r="J108" s="6">
        <f>IF(H108=0, "N/A", (I108-H108)/H108)</f>
        <v/>
      </c>
      <c r="K108" s="8">
        <f>B108+E108+H108</f>
        <v/>
      </c>
      <c r="L108" s="8">
        <f>C108+F108+I108</f>
        <v/>
      </c>
      <c r="M108" s="6">
        <f>IF(K108=0, "N/A", (L108-K108)/K108)</f>
        <v/>
      </c>
    </row>
    <row r="109">
      <c r="A109" s="2" t="inlineStr">
        <is>
          <t>Bermudas</t>
        </is>
      </c>
      <c r="B109" s="8" t="n"/>
      <c r="C109" s="8" t="n"/>
      <c r="D109" s="6">
        <f>IF(B109=0, "N/A", (C109-B109)/B109)</f>
        <v/>
      </c>
      <c r="E109" s="8" t="n">
        <v>134300</v>
      </c>
      <c r="F109" s="8" t="n"/>
      <c r="G109" s="6">
        <f>IF(E109=0, "N/A", (F109-E109)/E109)</f>
        <v/>
      </c>
      <c r="H109" s="8" t="n"/>
      <c r="I109" s="8" t="n"/>
      <c r="J109" s="6">
        <f>IF(H109=0, "N/A", (I109-H109)/H109)</f>
        <v/>
      </c>
      <c r="K109" s="8">
        <f>B109+E109+H109</f>
        <v/>
      </c>
      <c r="L109" s="8">
        <f>C109+F109+I109</f>
        <v/>
      </c>
      <c r="M109" s="6">
        <f>IF(K109=0, "N/A", (L109-K109)/K109)</f>
        <v/>
      </c>
    </row>
    <row r="110">
      <c r="A110" s="2" t="inlineStr">
        <is>
          <t>Boxer</t>
        </is>
      </c>
      <c r="B110" s="8" t="n">
        <v>167400</v>
      </c>
      <c r="C110" s="8" t="n">
        <v>265728.2699</v>
      </c>
      <c r="D110" s="6">
        <f>IF(B110=0, "N/A", (C110-B110)/B110)</f>
        <v/>
      </c>
      <c r="E110" s="8" t="n">
        <v>201932.6527</v>
      </c>
      <c r="F110" s="8" t="n">
        <v>223500</v>
      </c>
      <c r="G110" s="6">
        <f>IF(E110=0, "N/A", (F110-E110)/E110)</f>
        <v/>
      </c>
      <c r="H110" s="8" t="n">
        <v>988079.6167</v>
      </c>
      <c r="I110" s="8" t="n">
        <v>602958.8603000001</v>
      </c>
      <c r="J110" s="6">
        <f>IF(H110=0, "N/A", (I110-H110)/H110)</f>
        <v/>
      </c>
      <c r="K110" s="8">
        <f>B110+E110+H110</f>
        <v/>
      </c>
      <c r="L110" s="8">
        <f>C110+F110+I110</f>
        <v/>
      </c>
      <c r="M110" s="6">
        <f>IF(K110=0, "N/A", (L110-K110)/K110)</f>
        <v/>
      </c>
    </row>
    <row r="111">
      <c r="A111" s="2" t="inlineStr">
        <is>
          <t>Buzo Cuello Redondo</t>
        </is>
      </c>
      <c r="B111" s="8" t="n">
        <v>3746979.4777</v>
      </c>
      <c r="C111" s="8" t="n">
        <v>1560096.2485</v>
      </c>
      <c r="D111" s="6">
        <f>IF(B111=0, "N/A", (C111-B111)/B111)</f>
        <v/>
      </c>
      <c r="E111" s="8" t="n">
        <v>2361169.2755</v>
      </c>
      <c r="F111" s="8" t="n">
        <v>2632769.8194</v>
      </c>
      <c r="G111" s="6">
        <f>IF(E111=0, "N/A", (F111-E111)/E111)</f>
        <v/>
      </c>
      <c r="H111" s="8" t="n">
        <v>6635924</v>
      </c>
      <c r="I111" s="8" t="n">
        <v>7666483.3152</v>
      </c>
      <c r="J111" s="6">
        <f>IF(H111=0, "N/A", (I111-H111)/H111)</f>
        <v/>
      </c>
      <c r="K111" s="8">
        <f>B111+E111+H111</f>
        <v/>
      </c>
      <c r="L111" s="8">
        <f>C111+F111+I111</f>
        <v/>
      </c>
      <c r="M111" s="6">
        <f>IF(K111=0, "N/A", (L111-K111)/K111)</f>
        <v/>
      </c>
    </row>
    <row r="112">
      <c r="A112" s="2" t="inlineStr">
        <is>
          <t>Buzos C Capucha</t>
        </is>
      </c>
      <c r="B112" s="8" t="n">
        <v>1892728.2953</v>
      </c>
      <c r="C112" s="8" t="n">
        <v>1801698.1462</v>
      </c>
      <c r="D112" s="6">
        <f>IF(B112=0, "N/A", (C112-B112)/B112)</f>
        <v/>
      </c>
      <c r="E112" s="8" t="n">
        <v>2014933.872</v>
      </c>
      <c r="F112" s="8" t="n">
        <v>2327567.5518</v>
      </c>
      <c r="G112" s="6">
        <f>IF(E112=0, "N/A", (F112-E112)/E112)</f>
        <v/>
      </c>
      <c r="H112" s="8" t="n">
        <v>9196365</v>
      </c>
      <c r="I112" s="8" t="n">
        <v>7939828.4042</v>
      </c>
      <c r="J112" s="6">
        <f>IF(H112=0, "N/A", (I112-H112)/H112)</f>
        <v/>
      </c>
      <c r="K112" s="8">
        <f>B112+E112+H112</f>
        <v/>
      </c>
      <c r="L112" s="8">
        <f>C112+F112+I112</f>
        <v/>
      </c>
      <c r="M112" s="6">
        <f>IF(K112=0, "N/A", (L112-K112)/K112)</f>
        <v/>
      </c>
    </row>
    <row r="113">
      <c r="A113" s="2" t="inlineStr">
        <is>
          <t>Buzos C Capucha Orangutan</t>
        </is>
      </c>
      <c r="B113" s="8" t="n"/>
      <c r="C113" s="8" t="n">
        <v>823200.1662</v>
      </c>
      <c r="D113" s="6">
        <f>IF(B113=0, "N/A", (C113-B113)/B113)</f>
        <v/>
      </c>
      <c r="E113" s="8" t="n"/>
      <c r="F113" s="8" t="n">
        <v>598339.2602</v>
      </c>
      <c r="G113" s="6">
        <f>IF(E113=0, "N/A", (F113-E113)/E113)</f>
        <v/>
      </c>
      <c r="H113" s="8" t="n"/>
      <c r="I113" s="8" t="n">
        <v>2493661.0683</v>
      </c>
      <c r="J113" s="6">
        <f>IF(H113=0, "N/A", (I113-H113)/H113)</f>
        <v/>
      </c>
      <c r="K113" s="8">
        <f>B113+E113+H113</f>
        <v/>
      </c>
      <c r="L113" s="8">
        <f>C113+F113+I113</f>
        <v/>
      </c>
      <c r="M113" s="6">
        <f>IF(K113=0, "N/A", (L113-K113)/K113)</f>
        <v/>
      </c>
    </row>
    <row r="114">
      <c r="A114" s="2" t="inlineStr">
        <is>
          <t>Buzos C Redondo Orangutan</t>
        </is>
      </c>
      <c r="B114" s="8" t="n"/>
      <c r="C114" s="8" t="n">
        <v>159600</v>
      </c>
      <c r="D114" s="6">
        <f>IF(B114=0, "N/A", (C114-B114)/B114)</f>
        <v/>
      </c>
      <c r="E114" s="8" t="n"/>
      <c r="F114" s="8" t="n">
        <v>75800</v>
      </c>
      <c r="G114" s="6">
        <f>IF(E114=0, "N/A", (F114-E114)/E114)</f>
        <v/>
      </c>
      <c r="H114" s="8" t="n"/>
      <c r="I114" s="8" t="n">
        <v>654876.6838</v>
      </c>
      <c r="J114" s="6">
        <f>IF(H114=0, "N/A", (I114-H114)/H114)</f>
        <v/>
      </c>
      <c r="K114" s="8">
        <f>B114+E114+H114</f>
        <v/>
      </c>
      <c r="L114" s="8">
        <f>C114+F114+I114</f>
        <v/>
      </c>
      <c r="M114" s="6">
        <f>IF(K114=0, "N/A", (L114-K114)/K114)</f>
        <v/>
      </c>
    </row>
    <row r="115">
      <c r="A115" s="2" t="inlineStr">
        <is>
          <t>Buzos C Redondo Rustico</t>
        </is>
      </c>
      <c r="B115" s="8" t="n"/>
      <c r="C115" s="8" t="n"/>
      <c r="D115" s="6">
        <f>IF(B115=0, "N/A", (C115-B115)/B115)</f>
        <v/>
      </c>
      <c r="E115" s="8" t="n"/>
      <c r="F115" s="8" t="n"/>
      <c r="G115" s="6">
        <f>IF(E115=0, "N/A", (F115-E115)/E115)</f>
        <v/>
      </c>
      <c r="H115" s="8" t="n"/>
      <c r="I115" s="8" t="n">
        <v>-39000</v>
      </c>
      <c r="J115" s="6">
        <f>IF(H115=0, "N/A", (I115-H115)/H115)</f>
        <v/>
      </c>
      <c r="K115" s="8">
        <f>B115+E115+H115</f>
        <v/>
      </c>
      <c r="L115" s="8">
        <f>C115+F115+I115</f>
        <v/>
      </c>
      <c r="M115" s="6">
        <f>IF(K115=0, "N/A", (L115-K115)/K115)</f>
        <v/>
      </c>
    </row>
    <row r="116">
      <c r="A116" s="2" t="inlineStr">
        <is>
          <t>Buzos Medio Cierre</t>
        </is>
      </c>
      <c r="B116" s="8" t="n">
        <v>393316.3976</v>
      </c>
      <c r="C116" s="8" t="n">
        <v>141400</v>
      </c>
      <c r="D116" s="6">
        <f>IF(B116=0, "N/A", (C116-B116)/B116)</f>
        <v/>
      </c>
      <c r="E116" s="8" t="n">
        <v>91100</v>
      </c>
      <c r="F116" s="8" t="n">
        <v>78710</v>
      </c>
      <c r="G116" s="6">
        <f>IF(E116=0, "N/A", (F116-E116)/E116)</f>
        <v/>
      </c>
      <c r="H116" s="8" t="n">
        <v>580258.2616</v>
      </c>
      <c r="I116" s="8" t="n">
        <v>73200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Calzado</t>
        </is>
      </c>
      <c r="B117" s="8" t="n"/>
      <c r="C117" s="8" t="n"/>
      <c r="D117" s="6">
        <f>IF(B117=0, "N/A", (C117-B117)/B117)</f>
        <v/>
      </c>
      <c r="E117" s="8" t="n"/>
      <c r="F117" s="8" t="n"/>
      <c r="G117" s="6">
        <f>IF(E117=0, "N/A", (F117-E117)/E117)</f>
        <v/>
      </c>
      <c r="H117" s="8" t="n">
        <v>61290</v>
      </c>
      <c r="I117" s="8" t="n"/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Camisas</t>
        </is>
      </c>
      <c r="B118" s="8" t="n">
        <v>414348.1529</v>
      </c>
      <c r="C118" s="8" t="n">
        <v>117900</v>
      </c>
      <c r="D118" s="6">
        <f>IF(B118=0, "N/A", (C118-B118)/B118)</f>
        <v/>
      </c>
      <c r="E118" s="8" t="n">
        <v>272500</v>
      </c>
      <c r="F118" s="8" t="n">
        <v>174910</v>
      </c>
      <c r="G118" s="6">
        <f>IF(E118=0, "N/A", (F118-E118)/E118)</f>
        <v/>
      </c>
      <c r="H118" s="8" t="n">
        <v>1060646.5362</v>
      </c>
      <c r="I118" s="8" t="n">
        <v>54000</v>
      </c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Camisetas Manga Larga</t>
        </is>
      </c>
      <c r="B119" s="8" t="n">
        <v>606844.0004</v>
      </c>
      <c r="C119" s="8" t="n">
        <v>260765.8162</v>
      </c>
      <c r="D119" s="6">
        <f>IF(B119=0, "N/A", (C119-B119)/B119)</f>
        <v/>
      </c>
      <c r="E119" s="8" t="n">
        <v>304549.9995</v>
      </c>
      <c r="F119" s="8" t="n">
        <v>332741.4418</v>
      </c>
      <c r="G119" s="6">
        <f>IF(E119=0, "N/A", (F119-E119)/E119)</f>
        <v/>
      </c>
      <c r="H119" s="8" t="n">
        <v>1072344.9875</v>
      </c>
      <c r="I119" s="8" t="n">
        <v>183400</v>
      </c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Camisetas Manga Larga Orangutan</t>
        </is>
      </c>
      <c r="B120" s="8" t="n"/>
      <c r="C120" s="8" t="n">
        <v>122150.0004</v>
      </c>
      <c r="D120" s="6">
        <f>IF(B120=0, "N/A", (C120-B120)/B120)</f>
        <v/>
      </c>
      <c r="E120" s="8" t="n"/>
      <c r="F120" s="8" t="n">
        <v>103600</v>
      </c>
      <c r="G120" s="6">
        <f>IF(E120=0, "N/A", (F120-E120)/E120)</f>
        <v/>
      </c>
      <c r="H120" s="8" t="n"/>
      <c r="I120" s="8" t="n">
        <v>673276.9828</v>
      </c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Campera S Capucha</t>
        </is>
      </c>
      <c r="B121" s="8" t="n">
        <v>437055</v>
      </c>
      <c r="C121" s="8" t="n">
        <v>79000</v>
      </c>
      <c r="D121" s="6">
        <f>IF(B121=0, "N/A", (C121-B121)/B121)</f>
        <v/>
      </c>
      <c r="E121" s="8" t="n">
        <v>505272.4692</v>
      </c>
      <c r="F121" s="8" t="n">
        <v>114500</v>
      </c>
      <c r="G121" s="6">
        <f>IF(E121=0, "N/A", (F121-E121)/E121)</f>
        <v/>
      </c>
      <c r="H121" s="8" t="n">
        <v>2124451.4596</v>
      </c>
      <c r="I121" s="8" t="n">
        <v>561000</v>
      </c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Camperas Capucha</t>
        </is>
      </c>
      <c r="B122" s="8" t="n">
        <v>382140</v>
      </c>
      <c r="C122" s="8" t="n">
        <v>1300600</v>
      </c>
      <c r="D122" s="6">
        <f>IF(B122=0, "N/A", (C122-B122)/B122)</f>
        <v/>
      </c>
      <c r="E122" s="8" t="n">
        <v>347400</v>
      </c>
      <c r="F122" s="8" t="n">
        <v>1257980</v>
      </c>
      <c r="G122" s="6">
        <f>IF(E122=0, "N/A", (F122-E122)/E122)</f>
        <v/>
      </c>
      <c r="H122" s="8" t="n">
        <v>3829282.31</v>
      </c>
      <c r="I122" s="8" t="n">
        <v>1855971.8127</v>
      </c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Camperas De Abrigo</t>
        </is>
      </c>
      <c r="B123" s="8" t="n">
        <v>744130.0005</v>
      </c>
      <c r="C123" s="8" t="n">
        <v>446117.6494</v>
      </c>
      <c r="D123" s="6">
        <f>IF(B123=0, "N/A", (C123-B123)/B123)</f>
        <v/>
      </c>
      <c r="E123" s="8" t="n">
        <v>786621.0035999999</v>
      </c>
      <c r="F123" s="8" t="n">
        <v>866110</v>
      </c>
      <c r="G123" s="6">
        <f>IF(E123=0, "N/A", (F123-E123)/E123)</f>
        <v/>
      </c>
      <c r="H123" s="8" t="n">
        <v>1614200</v>
      </c>
      <c r="I123" s="8" t="n">
        <v>1567600</v>
      </c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Chombas</t>
        </is>
      </c>
      <c r="B124" s="8" t="n">
        <v>861122.8935</v>
      </c>
      <c r="C124" s="8" t="n">
        <v>252858.3113</v>
      </c>
      <c r="D124" s="6">
        <f>IF(B124=0, "N/A", (C124-B124)/B124)</f>
        <v/>
      </c>
      <c r="E124" s="8" t="n">
        <v>507724.3613</v>
      </c>
      <c r="F124" s="8" t="n">
        <v>196500</v>
      </c>
      <c r="G124" s="6">
        <f>IF(E124=0, "N/A", (F124-E124)/E124)</f>
        <v/>
      </c>
      <c r="H124" s="8" t="n">
        <v>476250</v>
      </c>
      <c r="I124" s="8" t="n">
        <v>8900</v>
      </c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Chombas Manga Larga</t>
        </is>
      </c>
      <c r="B125" s="8" t="n"/>
      <c r="C125" s="8" t="n">
        <v>33896.1567</v>
      </c>
      <c r="D125" s="6">
        <f>IF(B125=0, "N/A", (C125-B125)/B125)</f>
        <v/>
      </c>
      <c r="E125" s="8" t="n">
        <v>51250</v>
      </c>
      <c r="F125" s="8" t="n">
        <v>283610</v>
      </c>
      <c r="G125" s="6">
        <f>IF(E125=0, "N/A", (F125-E125)/E125)</f>
        <v/>
      </c>
      <c r="H125" s="8" t="n">
        <v>87499</v>
      </c>
      <c r="I125" s="8" t="n">
        <v>-154000</v>
      </c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Jeans</t>
        </is>
      </c>
      <c r="B126" s="8" t="n">
        <v>3301321.7674</v>
      </c>
      <c r="C126" s="8" t="n">
        <v>2452469.9813</v>
      </c>
      <c r="D126" s="6">
        <f>IF(B126=0, "N/A", (C126-B126)/B126)</f>
        <v/>
      </c>
      <c r="E126" s="8" t="n">
        <v>3897541.468</v>
      </c>
      <c r="F126" s="8" t="n">
        <v>2947601.0368</v>
      </c>
      <c r="G126" s="6">
        <f>IF(E126=0, "N/A", (F126-E126)/E126)</f>
        <v/>
      </c>
      <c r="H126" s="8" t="n">
        <v>18157751.8159</v>
      </c>
      <c r="I126" s="8" t="n">
        <v>17231805.2298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Jogging</t>
        </is>
      </c>
      <c r="B127" s="8" t="n">
        <v>515725</v>
      </c>
      <c r="C127" s="8" t="n">
        <v>206550</v>
      </c>
      <c r="D127" s="6">
        <f>IF(B127=0, "N/A", (C127-B127)/B127)</f>
        <v/>
      </c>
      <c r="E127" s="8" t="n">
        <v>328640</v>
      </c>
      <c r="F127" s="8" t="n">
        <v>473300</v>
      </c>
      <c r="G127" s="6">
        <f>IF(E127=0, "N/A", (F127-E127)/E127)</f>
        <v/>
      </c>
      <c r="H127" s="8" t="n">
        <v>2853010</v>
      </c>
      <c r="I127" s="8" t="n">
        <v>2292081.7542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Musculosas</t>
        </is>
      </c>
      <c r="B128" s="8" t="n"/>
      <c r="C128" s="8" t="n"/>
      <c r="D128" s="6">
        <f>IF(B128=0, "N/A", (C128-B128)/B128)</f>
        <v/>
      </c>
      <c r="E128" s="8" t="n"/>
      <c r="F128" s="8" t="n"/>
      <c r="G128" s="6">
        <f>IF(E128=0, "N/A", (F128-E128)/E128)</f>
        <v/>
      </c>
      <c r="H128" s="8" t="n">
        <v>27057.0125</v>
      </c>
      <c r="I128" s="8" t="n"/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2" t="inlineStr">
        <is>
          <t>Otro</t>
        </is>
      </c>
      <c r="B129" s="8" t="n"/>
      <c r="C129" s="8" t="n"/>
      <c r="D129" s="6">
        <f>IF(B129=0, "N/A", (C129-B129)/B129)</f>
        <v/>
      </c>
      <c r="E129" s="8" t="n">
        <v>22000</v>
      </c>
      <c r="F129" s="8" t="n"/>
      <c r="G129" s="6">
        <f>IF(E129=0, "N/A", (F129-E129)/E129)</f>
        <v/>
      </c>
      <c r="H129" s="8" t="n"/>
      <c r="I129" s="8" t="n">
        <v>55900</v>
      </c>
      <c r="J129" s="6">
        <f>IF(H129=0, "N/A", (I129-H129)/H129)</f>
        <v/>
      </c>
      <c r="K129" s="8">
        <f>B129+E129+H129</f>
        <v/>
      </c>
      <c r="L129" s="8">
        <f>C129+F129+I129</f>
        <v/>
      </c>
      <c r="M129" s="6">
        <f>IF(K129=0, "N/A", (L129-K129)/K129)</f>
        <v/>
      </c>
    </row>
    <row r="130">
      <c r="A130" s="2" t="inlineStr">
        <is>
          <t>Remeras</t>
        </is>
      </c>
      <c r="B130" s="8" t="n">
        <v>1871129.4057</v>
      </c>
      <c r="C130" s="8" t="n">
        <v>858108.0060000001</v>
      </c>
      <c r="D130" s="6">
        <f>IF(B130=0, "N/A", (C130-B130)/B130)</f>
        <v/>
      </c>
      <c r="E130" s="8" t="n">
        <v>3010793.229</v>
      </c>
      <c r="F130" s="8" t="n">
        <v>1358247.4978</v>
      </c>
      <c r="G130" s="6">
        <f>IF(E130=0, "N/A", (F130-E130)/E130)</f>
        <v/>
      </c>
      <c r="H130" s="8" t="n">
        <v>7003745</v>
      </c>
      <c r="I130" s="8" t="n">
        <v>5670075.8477</v>
      </c>
      <c r="J130" s="6">
        <f>IF(H130=0, "N/A", (I130-H130)/H130)</f>
        <v/>
      </c>
      <c r="K130" s="8">
        <f>B130+E130+H130</f>
        <v/>
      </c>
      <c r="L130" s="8">
        <f>C130+F130+I130</f>
        <v/>
      </c>
      <c r="M130" s="6">
        <f>IF(K130=0, "N/A", (L130-K130)/K130)</f>
        <v/>
      </c>
    </row>
    <row r="131">
      <c r="A131" s="2" t="inlineStr">
        <is>
          <t>Sweaters</t>
        </is>
      </c>
      <c r="B131" s="8" t="n">
        <v>289420</v>
      </c>
      <c r="C131" s="8" t="n">
        <v>351367.0645</v>
      </c>
      <c r="D131" s="6">
        <f>IF(B131=0, "N/A", (C131-B131)/B131)</f>
        <v/>
      </c>
      <c r="E131" s="8" t="n">
        <v>805800</v>
      </c>
      <c r="F131" s="8" t="n">
        <v>312732</v>
      </c>
      <c r="G131" s="6">
        <f>IF(E131=0, "N/A", (F131-E131)/E131)</f>
        <v/>
      </c>
      <c r="H131" s="8" t="n">
        <v>253500</v>
      </c>
      <c r="I131" s="8" t="n">
        <v>179581.8118</v>
      </c>
      <c r="J131" s="6">
        <f>IF(H131=0, "N/A", (I131-H131)/H131)</f>
        <v/>
      </c>
      <c r="K131" s="8">
        <f>B131+E131+H131</f>
        <v/>
      </c>
      <c r="L131" s="8">
        <f>C131+F131+I131</f>
        <v/>
      </c>
      <c r="M131" s="6">
        <f>IF(K131=0, "N/A", (L131-K131)/K131)</f>
        <v/>
      </c>
    </row>
    <row r="132">
      <c r="A132" s="2" t="inlineStr">
        <is>
          <t>Trajes De Baño</t>
        </is>
      </c>
      <c r="B132" s="8" t="n"/>
      <c r="C132" s="8" t="n"/>
      <c r="D132" s="6">
        <f>IF(B132=0, "N/A", (C132-B132)/B132)</f>
        <v/>
      </c>
      <c r="E132" s="8" t="n">
        <v>53853.1376</v>
      </c>
      <c r="F132" s="8" t="n"/>
      <c r="G132" s="6">
        <f>IF(E132=0, "N/A", (F132-E132)/E132)</f>
        <v/>
      </c>
      <c r="H132" s="8" t="n"/>
      <c r="I132" s="8" t="n"/>
      <c r="J132" s="6">
        <f>IF(H132=0, "N/A", (I132-H132)/H132)</f>
        <v/>
      </c>
      <c r="K132" s="8">
        <f>B132+E132+H132</f>
        <v/>
      </c>
      <c r="L132" s="8">
        <f>C132+F132+I132</f>
        <v/>
      </c>
      <c r="M132" s="6">
        <f>IF(K132=0, "N/A", (L132-K132)/K132)</f>
        <v/>
      </c>
    </row>
    <row r="133">
      <c r="A133" s="5" t="inlineStr">
        <is>
          <t>Totals</t>
        </is>
      </c>
      <c r="B133" s="9">
        <f>SUM($B108:$B132)</f>
        <v/>
      </c>
      <c r="C133" s="9">
        <f>SUM($C108:$C132)</f>
        <v/>
      </c>
      <c r="D133" s="7">
        <f>IF(B133=0, "N/A", (C133-B133)/B133)</f>
        <v/>
      </c>
      <c r="E133" s="9">
        <f>SUM($E108:$E132)</f>
        <v/>
      </c>
      <c r="F133" s="9">
        <f>SUM($F108:$F132)</f>
        <v/>
      </c>
      <c r="G133" s="7">
        <f>IF(E133=0, "N/A", (F133-E133)/E133)</f>
        <v/>
      </c>
      <c r="H133" s="9">
        <f>SUM($H108:$H132)</f>
        <v/>
      </c>
      <c r="I133" s="9">
        <f>SUM($I108:$I132)</f>
        <v/>
      </c>
      <c r="J133" s="7">
        <f>IF(H133=0, "N/A", (I133-H133)/H133)</f>
        <v/>
      </c>
      <c r="K133" s="9">
        <f>SUM($K108:$K132)</f>
        <v/>
      </c>
      <c r="L133" s="9">
        <f>SUM($L108:$L132)</f>
        <v/>
      </c>
      <c r="M133" s="7">
        <f>IF(K133=0, "N/A", (L133-K133)/K133)</f>
        <v/>
      </c>
    </row>
    <row r="136">
      <c r="A136" s="1" t="inlineStr">
        <is>
          <t>YoY Sales Amount Comparison - Branch Group 2</t>
        </is>
      </c>
    </row>
    <row r="137">
      <c r="B137" s="1" t="inlineStr">
        <is>
          <t>VIRREYES</t>
        </is>
      </c>
      <c r="C137" s="1" t="n"/>
      <c r="D137" s="1" t="n"/>
    </row>
    <row r="138">
      <c r="A138" s="1" t="inlineStr">
        <is>
          <t>Familias</t>
        </is>
      </c>
      <c r="B138" s="1" t="n">
        <v>2025</v>
      </c>
      <c r="C138" s="1" t="n">
        <v>2026</v>
      </c>
      <c r="D138" s="1" t="inlineStr">
        <is>
          <t>%</t>
        </is>
      </c>
    </row>
    <row r="139">
      <c r="A139" s="2" t="inlineStr">
        <is>
          <t>Accesorios</t>
        </is>
      </c>
      <c r="B139" s="8" t="n">
        <v>127250</v>
      </c>
      <c r="C139" s="8" t="n">
        <v>26100.0009</v>
      </c>
      <c r="D139" s="6">
        <f>IF(B139=0, "N/A", (C139-B139)/B139)</f>
        <v/>
      </c>
    </row>
    <row r="140">
      <c r="A140" s="2" t="inlineStr">
        <is>
          <t>Boxer</t>
        </is>
      </c>
      <c r="B140" s="8" t="n">
        <v>13500</v>
      </c>
      <c r="C140" s="8" t="n">
        <v>87000</v>
      </c>
      <c r="D140" s="6">
        <f>IF(B140=0, "N/A", (C140-B140)/B140)</f>
        <v/>
      </c>
    </row>
    <row r="141">
      <c r="A141" s="2" t="inlineStr">
        <is>
          <t>Buzo Cuello Redondo</t>
        </is>
      </c>
      <c r="B141" s="8" t="n">
        <v>208300</v>
      </c>
      <c r="C141" s="8" t="n">
        <v>34200.0008</v>
      </c>
      <c r="D141" s="6">
        <f>IF(B141=0, "N/A", (C141-B141)/B141)</f>
        <v/>
      </c>
    </row>
    <row r="142">
      <c r="A142" s="2" t="inlineStr">
        <is>
          <t>Buzos C Capucha</t>
        </is>
      </c>
      <c r="B142" s="8" t="n">
        <v>453898</v>
      </c>
      <c r="C142" s="8" t="n">
        <v>140700</v>
      </c>
      <c r="D142" s="6">
        <f>IF(B142=0, "N/A", (C142-B142)/B142)</f>
        <v/>
      </c>
    </row>
    <row r="143">
      <c r="A143" s="2" t="inlineStr">
        <is>
          <t>Buzos C Capucha Orangutan</t>
        </is>
      </c>
      <c r="B143" s="8" t="n"/>
      <c r="C143" s="8" t="n">
        <v>179639.9973</v>
      </c>
      <c r="D143" s="6">
        <f>IF(B143=0, "N/A", (C143-B143)/B143)</f>
        <v/>
      </c>
    </row>
    <row r="144">
      <c r="A144" s="2" t="inlineStr">
        <is>
          <t>Buzos C Redondo Orangutan</t>
        </is>
      </c>
      <c r="B144" s="8" t="n"/>
      <c r="C144" s="8" t="n">
        <v>204729.9978</v>
      </c>
      <c r="D144" s="6">
        <f>IF(B144=0, "N/A", (C144-B144)/B144)</f>
        <v/>
      </c>
    </row>
    <row r="145">
      <c r="A145" s="2" t="inlineStr">
        <is>
          <t>Buzos Medio Cierre</t>
        </is>
      </c>
      <c r="B145" s="8" t="n">
        <v>82000</v>
      </c>
      <c r="C145" s="8" t="n"/>
      <c r="D145" s="6">
        <f>IF(B145=0, "N/A", (C145-B145)/B145)</f>
        <v/>
      </c>
    </row>
    <row r="146">
      <c r="A146" s="2" t="inlineStr">
        <is>
          <t>Camisetas Manga Larga</t>
        </is>
      </c>
      <c r="B146" s="8" t="n">
        <v>72000</v>
      </c>
      <c r="C146" s="8" t="n"/>
      <c r="D146" s="6">
        <f>IF(B146=0, "N/A", (C146-B146)/B146)</f>
        <v/>
      </c>
    </row>
    <row r="147">
      <c r="A147" s="2" t="inlineStr">
        <is>
          <t>Camisetas Manga Larga Orangutan</t>
        </is>
      </c>
      <c r="B147" s="8" t="n"/>
      <c r="C147" s="8" t="n">
        <v>-43800</v>
      </c>
      <c r="D147" s="6">
        <f>IF(B147=0, "N/A", (C147-B147)/B147)</f>
        <v/>
      </c>
    </row>
    <row r="148">
      <c r="A148" s="2" t="inlineStr">
        <is>
          <t>Camperas Capucha</t>
        </is>
      </c>
      <c r="B148" s="8" t="n">
        <v>107400</v>
      </c>
      <c r="C148" s="8" t="n">
        <v>162810</v>
      </c>
      <c r="D148" s="6">
        <f>IF(B148=0, "N/A", (C148-B148)/B148)</f>
        <v/>
      </c>
    </row>
    <row r="149">
      <c r="A149" s="2" t="inlineStr">
        <is>
          <t>Camperas De Abrigo</t>
        </is>
      </c>
      <c r="B149" s="8" t="n">
        <v>132000</v>
      </c>
      <c r="C149" s="8" t="n">
        <v>178700</v>
      </c>
      <c r="D149" s="6">
        <f>IF(B149=0, "N/A", (C149-B149)/B149)</f>
        <v/>
      </c>
    </row>
    <row r="150">
      <c r="A150" s="2" t="inlineStr">
        <is>
          <t>Jeans</t>
        </is>
      </c>
      <c r="B150" s="8" t="n">
        <v>436360</v>
      </c>
      <c r="C150" s="8" t="n">
        <v>821760.0021</v>
      </c>
      <c r="D150" s="6">
        <f>IF(B150=0, "N/A", (C150-B150)/B150)</f>
        <v/>
      </c>
    </row>
    <row r="151">
      <c r="A151" s="2" t="inlineStr">
        <is>
          <t>Jogging</t>
        </is>
      </c>
      <c r="B151" s="8" t="n">
        <v>118000</v>
      </c>
      <c r="C151" s="8" t="n">
        <v>195699.9998</v>
      </c>
      <c r="D151" s="6">
        <f>IF(B151=0, "N/A", (C151-B151)/B151)</f>
        <v/>
      </c>
    </row>
    <row r="152">
      <c r="A152" s="2" t="inlineStr">
        <is>
          <t>Remeras</t>
        </is>
      </c>
      <c r="B152" s="8" t="n">
        <v>569300</v>
      </c>
      <c r="C152" s="8" t="n">
        <v>211190.0013</v>
      </c>
      <c r="D152" s="6">
        <f>IF(B152=0, "N/A", (C152-B152)/B152)</f>
        <v/>
      </c>
    </row>
    <row r="153">
      <c r="A153" s="2" t="inlineStr">
        <is>
          <t>Sweaters</t>
        </is>
      </c>
      <c r="B153" s="8" t="n">
        <v>215000</v>
      </c>
      <c r="C153" s="8" t="n"/>
      <c r="D153" s="6">
        <f>IF(B153=0, "N/A", (C153-B153)/B153)</f>
        <v/>
      </c>
    </row>
    <row r="154">
      <c r="A154" s="5" t="inlineStr">
        <is>
          <t>Totals</t>
        </is>
      </c>
      <c r="B154" s="9">
        <f>SUM($B139:$B153)</f>
        <v/>
      </c>
      <c r="C154" s="9">
        <f>SUM($C139:$C153)</f>
        <v/>
      </c>
      <c r="D154" s="7">
        <f>IF(B154=0, "N/A", (C154-B154)/B154)</f>
        <v/>
      </c>
    </row>
  </sheetData>
  <mergeCells count="16">
    <mergeCell ref="A136:D136"/>
    <mergeCell ref="A58:D58"/>
    <mergeCell ref="A27:M27"/>
    <mergeCell ref="B59:C59"/>
    <mergeCell ref="E106:F106"/>
    <mergeCell ref="A1:F1"/>
    <mergeCell ref="A105:M105"/>
    <mergeCell ref="B28:C28"/>
    <mergeCell ref="K28:L28"/>
    <mergeCell ref="E28:F28"/>
    <mergeCell ref="A79:F79"/>
    <mergeCell ref="B137:C137"/>
    <mergeCell ref="K106:L106"/>
    <mergeCell ref="H28:I28"/>
    <mergeCell ref="B106:C106"/>
    <mergeCell ref="H106:I10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August 01, 2026 to August 12,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4</v>
      </c>
      <c r="C3" s="3" t="n">
        <v>10</v>
      </c>
      <c r="D3" s="3" t="n">
        <v>32</v>
      </c>
      <c r="E3" s="3" t="n"/>
      <c r="F3" s="4">
        <f>B3+C3+D3+E3</f>
        <v/>
      </c>
    </row>
    <row r="4">
      <c r="A4" s="2" t="inlineStr">
        <is>
          <t>Bermudas</t>
        </is>
      </c>
      <c r="B4" s="3" t="n"/>
      <c r="C4" s="3" t="n">
        <v>2</v>
      </c>
      <c r="D4" s="3" t="n"/>
      <c r="E4" s="3" t="n"/>
      <c r="F4" s="4">
        <f>B4+C4+D4+E4</f>
        <v/>
      </c>
    </row>
    <row r="5">
      <c r="A5" s="2" t="inlineStr">
        <is>
          <t>Boxer</t>
        </is>
      </c>
      <c r="B5" s="3" t="n">
        <v>5</v>
      </c>
      <c r="C5" s="3" t="n">
        <v>3</v>
      </c>
      <c r="D5" s="3" t="n">
        <v>19</v>
      </c>
      <c r="E5" s="3" t="n"/>
      <c r="F5" s="4">
        <f>B5+C5+D5+E5</f>
        <v/>
      </c>
    </row>
    <row r="6">
      <c r="A6" s="2" t="inlineStr">
        <is>
          <t>Buzo C Capucha Rustico</t>
        </is>
      </c>
      <c r="B6" s="3" t="n"/>
      <c r="C6" s="3" t="n"/>
      <c r="D6" s="3" t="n">
        <v>2</v>
      </c>
      <c r="E6" s="3" t="n"/>
      <c r="F6" s="4">
        <f>B6+C6+D6+E6</f>
        <v/>
      </c>
    </row>
    <row r="7">
      <c r="A7" s="2" t="inlineStr">
        <is>
          <t>Buzo Cuello Redondo</t>
        </is>
      </c>
      <c r="B7" s="3" t="n">
        <v>21</v>
      </c>
      <c r="C7" s="3" t="n">
        <v>14</v>
      </c>
      <c r="D7" s="3" t="n">
        <v>70</v>
      </c>
      <c r="E7" s="3" t="n">
        <v>1</v>
      </c>
      <c r="F7" s="4">
        <f>B7+C7+D7+E7</f>
        <v/>
      </c>
    </row>
    <row r="8">
      <c r="A8" s="2" t="inlineStr">
        <is>
          <t>Buzos C Capucha</t>
        </is>
      </c>
      <c r="B8" s="3" t="n">
        <v>12</v>
      </c>
      <c r="C8" s="3" t="n">
        <v>7</v>
      </c>
      <c r="D8" s="3" t="n">
        <v>23</v>
      </c>
      <c r="E8" s="3" t="n"/>
      <c r="F8" s="4">
        <f>B8+C8+D8+E8</f>
        <v/>
      </c>
    </row>
    <row r="9">
      <c r="A9" s="2" t="inlineStr">
        <is>
          <t>Buzos C Capucha Orangutan</t>
        </is>
      </c>
      <c r="B9" s="3" t="n">
        <v>2</v>
      </c>
      <c r="C9" s="3" t="n">
        <v>3</v>
      </c>
      <c r="D9" s="3" t="n">
        <v>32</v>
      </c>
      <c r="E9" s="3" t="n">
        <v>4</v>
      </c>
      <c r="F9" s="4">
        <f>B9+C9+D9+E9</f>
        <v/>
      </c>
    </row>
    <row r="10">
      <c r="A10" s="2" t="inlineStr">
        <is>
          <t>Buzos C Redondo Orangutan</t>
        </is>
      </c>
      <c r="B10" s="3" t="n">
        <v>1</v>
      </c>
      <c r="C10" s="3" t="n">
        <v>1</v>
      </c>
      <c r="D10" s="3" t="n">
        <v>3</v>
      </c>
      <c r="E10" s="3" t="n">
        <v>2</v>
      </c>
      <c r="F10" s="4">
        <f>B10+C10+D10+E10</f>
        <v/>
      </c>
    </row>
    <row r="11">
      <c r="A11" s="2" t="inlineStr">
        <is>
          <t>Buzos C Redondo Rustico</t>
        </is>
      </c>
      <c r="B11" s="3" t="n"/>
      <c r="C11" s="3" t="n"/>
      <c r="D11" s="3" t="n">
        <v>4</v>
      </c>
      <c r="E11" s="3" t="n"/>
      <c r="F11" s="4">
        <f>B11+C11+D11+E11</f>
        <v/>
      </c>
    </row>
    <row r="12">
      <c r="A12" s="2" t="inlineStr">
        <is>
          <t>Buzos Medio Cierre</t>
        </is>
      </c>
      <c r="B12" s="3" t="n"/>
      <c r="C12" s="3" t="n"/>
      <c r="D12" s="3" t="n">
        <v>1</v>
      </c>
      <c r="E12" s="3" t="n"/>
      <c r="F12" s="4">
        <f>B12+C12+D12+E12</f>
        <v/>
      </c>
    </row>
    <row r="13">
      <c r="A13" s="2" t="inlineStr">
        <is>
          <t>Calzado</t>
        </is>
      </c>
      <c r="B13" s="3" t="n"/>
      <c r="C13" s="3" t="n"/>
      <c r="D13" s="3" t="n">
        <v>1</v>
      </c>
      <c r="E13" s="3" t="n"/>
      <c r="F13" s="4">
        <f>B13+C13+D13+E13</f>
        <v/>
      </c>
    </row>
    <row r="14">
      <c r="A14" s="2" t="inlineStr">
        <is>
          <t>Camisas</t>
        </is>
      </c>
      <c r="B14" s="3" t="n">
        <v>5</v>
      </c>
      <c r="C14" s="3" t="n">
        <v>2</v>
      </c>
      <c r="D14" s="3" t="n"/>
      <c r="E14" s="3" t="n"/>
      <c r="F14" s="4">
        <f>B14+C14+D14+E14</f>
        <v/>
      </c>
    </row>
    <row r="15">
      <c r="A15" s="2" t="inlineStr">
        <is>
          <t>Camisetas Manga Larga</t>
        </is>
      </c>
      <c r="B15" s="3" t="n">
        <v>9</v>
      </c>
      <c r="C15" s="3" t="n">
        <v>11</v>
      </c>
      <c r="D15" s="3" t="n">
        <v>2</v>
      </c>
      <c r="E15" s="3" t="n"/>
      <c r="F15" s="4">
        <f>B15+C15+D15+E15</f>
        <v/>
      </c>
    </row>
    <row r="16">
      <c r="A16" s="2" t="inlineStr">
        <is>
          <t>Camisetas Manga Larga Orangutan</t>
        </is>
      </c>
      <c r="B16" s="3" t="n">
        <v>2</v>
      </c>
      <c r="C16" s="3" t="n">
        <v>2</v>
      </c>
      <c r="D16" s="3" t="n">
        <v>14</v>
      </c>
      <c r="E16" s="3" t="n"/>
      <c r="F16" s="4">
        <f>B16+C16+D16+E16</f>
        <v/>
      </c>
    </row>
    <row r="17">
      <c r="A17" s="2" t="inlineStr">
        <is>
          <t>Campera S Capucha</t>
        </is>
      </c>
      <c r="B17" s="3" t="n">
        <v>1</v>
      </c>
      <c r="C17" s="3" t="n"/>
      <c r="D17" s="3" t="n">
        <v>2</v>
      </c>
      <c r="E17" s="3" t="n"/>
      <c r="F17" s="4">
        <f>B17+C17+D17+E17</f>
        <v/>
      </c>
    </row>
    <row r="18">
      <c r="A18" s="2" t="inlineStr">
        <is>
          <t>Camperas Capucha</t>
        </is>
      </c>
      <c r="B18" s="3" t="n">
        <v>4</v>
      </c>
      <c r="C18" s="3" t="n">
        <v>7</v>
      </c>
      <c r="D18" s="3" t="n">
        <v>25</v>
      </c>
      <c r="E18" s="3" t="n"/>
      <c r="F18" s="4">
        <f>B18+C18+D18+E18</f>
        <v/>
      </c>
    </row>
    <row r="19">
      <c r="A19" s="2" t="inlineStr">
        <is>
          <t>Camperas De Abrigo</t>
        </is>
      </c>
      <c r="B19" s="3" t="n">
        <v>2</v>
      </c>
      <c r="C19" s="3" t="n">
        <v>-7</v>
      </c>
      <c r="D19" s="3" t="n">
        <v>9</v>
      </c>
      <c r="E19" s="3" t="n"/>
      <c r="F19" s="4">
        <f>B19+C19+D19+E19</f>
        <v/>
      </c>
    </row>
    <row r="20">
      <c r="A20" s="2" t="inlineStr">
        <is>
          <t>Chombas</t>
        </is>
      </c>
      <c r="B20" s="3" t="n">
        <v>4</v>
      </c>
      <c r="C20" s="3" t="n">
        <v>2</v>
      </c>
      <c r="D20" s="3" t="n">
        <v>3</v>
      </c>
      <c r="E20" s="3" t="n"/>
      <c r="F20" s="4">
        <f>B20+C20+D20+E20</f>
        <v/>
      </c>
    </row>
    <row r="21">
      <c r="A21" s="2" t="inlineStr">
        <is>
          <t>Chombas Manga Larga</t>
        </is>
      </c>
      <c r="B21" s="3" t="n">
        <v>1</v>
      </c>
      <c r="C21" s="3" t="n">
        <v>3</v>
      </c>
      <c r="D21" s="3" t="n"/>
      <c r="E21" s="3" t="n"/>
      <c r="F21" s="4">
        <f>B21+C21+D21+E21</f>
        <v/>
      </c>
    </row>
    <row r="22">
      <c r="A22" s="2" t="inlineStr">
        <is>
          <t>Detroit</t>
        </is>
      </c>
      <c r="B22" s="3" t="n"/>
      <c r="C22" s="3" t="n"/>
      <c r="D22" s="3" t="n"/>
      <c r="E22" s="3" t="n">
        <v>1</v>
      </c>
      <c r="F22" s="4">
        <f>B22+C22+D22+E22</f>
        <v/>
      </c>
    </row>
    <row r="23">
      <c r="A23" s="2" t="inlineStr">
        <is>
          <t>Jeans</t>
        </is>
      </c>
      <c r="B23" s="3" t="n">
        <v>18</v>
      </c>
      <c r="C23" s="3" t="n">
        <v>24</v>
      </c>
      <c r="D23" s="3" t="n">
        <v>158</v>
      </c>
      <c r="E23" s="3" t="n">
        <v>4</v>
      </c>
      <c r="F23" s="4">
        <f>B23+C23+D23+E23</f>
        <v/>
      </c>
    </row>
    <row r="24">
      <c r="A24" s="2" t="inlineStr">
        <is>
          <t>Jogging</t>
        </is>
      </c>
      <c r="B24" s="3" t="n"/>
      <c r="C24" s="3" t="n">
        <v>4</v>
      </c>
      <c r="D24" s="3" t="n">
        <v>7</v>
      </c>
      <c r="E24" s="3" t="n"/>
      <c r="F24" s="4">
        <f>B24+C24+D24+E24</f>
        <v/>
      </c>
    </row>
    <row r="25">
      <c r="A25" s="2" t="inlineStr">
        <is>
          <t>Remeras</t>
        </is>
      </c>
      <c r="B25" s="3" t="n">
        <v>10</v>
      </c>
      <c r="C25" s="3" t="n">
        <v>48</v>
      </c>
      <c r="D25" s="3" t="n">
        <v>125</v>
      </c>
      <c r="E25" s="3" t="n">
        <v>3</v>
      </c>
      <c r="F25" s="4">
        <f>B25+C25+D25+E25</f>
        <v/>
      </c>
    </row>
    <row r="26">
      <c r="A26" s="2" t="inlineStr">
        <is>
          <t>Sweaters</t>
        </is>
      </c>
      <c r="B26" s="3" t="n">
        <v>3</v>
      </c>
      <c r="C26" s="3" t="n">
        <v>2</v>
      </c>
      <c r="D26" s="3" t="n">
        <v>1</v>
      </c>
      <c r="E26" s="3" t="n"/>
      <c r="F26" s="4">
        <f>B26+C26+D26+E26</f>
        <v/>
      </c>
    </row>
    <row r="27">
      <c r="A27" s="5" t="inlineStr">
        <is>
          <t>Totals</t>
        </is>
      </c>
      <c r="B27" s="4">
        <f>SUM($B$3:$B$26)</f>
        <v/>
      </c>
      <c r="C27" s="4">
        <f>SUM($C$3:$C$26)</f>
        <v/>
      </c>
      <c r="D27" s="4">
        <f>SUM($D$3:$D$26)</f>
        <v/>
      </c>
      <c r="E27" s="4">
        <f>SUM($E$3:$E$26)</f>
        <v/>
      </c>
      <c r="F27" s="4">
        <f>SUM($F$3:$F$26)</f>
        <v/>
      </c>
    </row>
    <row r="30">
      <c r="A30" s="1" t="inlineStr">
        <is>
          <t>YoY Units Sold Comparison - Branch Group 1</t>
        </is>
      </c>
    </row>
    <row r="31">
      <c r="B31" s="1" t="inlineStr">
        <is>
          <t>LIBERT.R</t>
        </is>
      </c>
      <c r="C31" s="1" t="n"/>
      <c r="D31" s="1" t="n"/>
      <c r="E31" s="1" t="inlineStr">
        <is>
          <t>PASO.R</t>
        </is>
      </c>
      <c r="F31" s="1" t="n"/>
      <c r="G31" s="1" t="n"/>
      <c r="H31" s="1" t="inlineStr">
        <is>
          <t>P.OESTE</t>
        </is>
      </c>
      <c r="I31" s="1" t="n"/>
      <c r="J31" s="1" t="n"/>
      <c r="K31" s="1" t="inlineStr">
        <is>
          <t>Global</t>
        </is>
      </c>
      <c r="L31" s="1" t="n"/>
      <c r="M31" s="1" t="n"/>
    </row>
    <row r="32">
      <c r="A32" s="1" t="inlineStr">
        <is>
          <t>Familias</t>
        </is>
      </c>
      <c r="B32" s="1" t="n">
        <v>2025</v>
      </c>
      <c r="C32" s="1" t="n">
        <v>2026</v>
      </c>
      <c r="D32" s="1" t="inlineStr">
        <is>
          <t>%</t>
        </is>
      </c>
      <c r="E32" s="1" t="n">
        <v>2025</v>
      </c>
      <c r="F32" s="1" t="n">
        <v>2026</v>
      </c>
      <c r="G32" s="1" t="inlineStr">
        <is>
          <t>%</t>
        </is>
      </c>
      <c r="H32" s="1" t="n">
        <v>2025</v>
      </c>
      <c r="I32" s="1" t="n">
        <v>2026</v>
      </c>
      <c r="J32" s="1" t="inlineStr">
        <is>
          <t>%</t>
        </is>
      </c>
      <c r="K32" s="1" t="n">
        <v>2025</v>
      </c>
      <c r="L32" s="1" t="n">
        <v>2026</v>
      </c>
      <c r="M32" s="1" t="inlineStr">
        <is>
          <t>%</t>
        </is>
      </c>
    </row>
    <row r="33">
      <c r="A33" s="2" t="inlineStr">
        <is>
          <t>Accesorios</t>
        </is>
      </c>
      <c r="B33" s="3" t="n">
        <v>5</v>
      </c>
      <c r="C33" s="3" t="n">
        <v>4</v>
      </c>
      <c r="D33" s="6">
        <f>IF(B33=0, "N/A", (C33-B33)/B33)</f>
        <v/>
      </c>
      <c r="E33" s="3" t="n">
        <v>4</v>
      </c>
      <c r="F33" s="3" t="n">
        <v>10</v>
      </c>
      <c r="G33" s="6">
        <f>IF(E33=0, "N/A", (F33-E33)/E33)</f>
        <v/>
      </c>
      <c r="H33" s="3" t="n">
        <v>24</v>
      </c>
      <c r="I33" s="3" t="n">
        <v>32</v>
      </c>
      <c r="J33" s="6">
        <f>IF(H33=0, "N/A", (I33-H33)/H33)</f>
        <v/>
      </c>
      <c r="K33" s="3">
        <f>B33+E33+H33</f>
        <v/>
      </c>
      <c r="L33" s="3">
        <f>C33+F33+I33</f>
        <v/>
      </c>
      <c r="M33" s="6">
        <f>IF(K33=0, "N/A", (L33-K33)/K33)</f>
        <v/>
      </c>
    </row>
    <row r="34">
      <c r="A34" s="2" t="inlineStr">
        <is>
          <t>Bermudas</t>
        </is>
      </c>
      <c r="B34" s="3" t="n"/>
      <c r="C34" s="3" t="n"/>
      <c r="D34" s="6">
        <f>IF(B34=0, "N/A", (C34-B34)/B34)</f>
        <v/>
      </c>
      <c r="E34" s="3" t="n"/>
      <c r="F34" s="3" t="n">
        <v>2</v>
      </c>
      <c r="G34" s="6">
        <f>IF(E34=0, "N/A", (F34-E34)/E34)</f>
        <v/>
      </c>
      <c r="H34" s="3" t="n"/>
      <c r="I34" s="3" t="n"/>
      <c r="J34" s="6">
        <f>IF(H34=0, "N/A", (I34-H34)/H34)</f>
        <v/>
      </c>
      <c r="K34" s="3">
        <f>B34+E34+H34</f>
        <v/>
      </c>
      <c r="L34" s="3">
        <f>C34+F34+I34</f>
        <v/>
      </c>
      <c r="M34" s="6">
        <f>IF(K34=0, "N/A", (L34-K34)/K34)</f>
        <v/>
      </c>
    </row>
    <row r="35">
      <c r="A35" s="2" t="inlineStr">
        <is>
          <t>Boxer</t>
        </is>
      </c>
      <c r="B35" s="3" t="n">
        <v>4</v>
      </c>
      <c r="C35" s="3" t="n">
        <v>5</v>
      </c>
      <c r="D35" s="6">
        <f>IF(B35=0, "N/A", (C35-B35)/B35)</f>
        <v/>
      </c>
      <c r="E35" s="3" t="n"/>
      <c r="F35" s="3" t="n">
        <v>3</v>
      </c>
      <c r="G35" s="6">
        <f>IF(E35=0, "N/A", (F35-E35)/E35)</f>
        <v/>
      </c>
      <c r="H35" s="3" t="n">
        <v>18</v>
      </c>
      <c r="I35" s="3" t="n">
        <v>19</v>
      </c>
      <c r="J35" s="6">
        <f>IF(H35=0, "N/A", (I35-H35)/H35)</f>
        <v/>
      </c>
      <c r="K35" s="3">
        <f>B35+E35+H35</f>
        <v/>
      </c>
      <c r="L35" s="3">
        <f>C35+F35+I35</f>
        <v/>
      </c>
      <c r="M35" s="6">
        <f>IF(K35=0, "N/A", (L35-K35)/K35)</f>
        <v/>
      </c>
    </row>
    <row r="36">
      <c r="A36" s="2" t="inlineStr">
        <is>
          <t>Buzo C Capucha Rustico</t>
        </is>
      </c>
      <c r="B36" s="3" t="n"/>
      <c r="C36" s="3" t="n"/>
      <c r="D36" s="6">
        <f>IF(B36=0, "N/A", (C36-B36)/B36)</f>
        <v/>
      </c>
      <c r="E36" s="3" t="n"/>
      <c r="F36" s="3" t="n"/>
      <c r="G36" s="6">
        <f>IF(E36=0, "N/A", (F36-E36)/E36)</f>
        <v/>
      </c>
      <c r="H36" s="3" t="n"/>
      <c r="I36" s="3" t="n">
        <v>2</v>
      </c>
      <c r="J36" s="6">
        <f>IF(H36=0, "N/A", (I36-H36)/H36)</f>
        <v/>
      </c>
      <c r="K36" s="3">
        <f>B36+E36+H36</f>
        <v/>
      </c>
      <c r="L36" s="3">
        <f>C36+F36+I36</f>
        <v/>
      </c>
      <c r="M36" s="6">
        <f>IF(K36=0, "N/A", (L36-K36)/K36)</f>
        <v/>
      </c>
    </row>
    <row r="37">
      <c r="A37" s="2" t="inlineStr">
        <is>
          <t>Buzo Cuello Redondo</t>
        </is>
      </c>
      <c r="B37" s="3" t="n">
        <v>12</v>
      </c>
      <c r="C37" s="3" t="n">
        <v>21</v>
      </c>
      <c r="D37" s="6">
        <f>IF(B37=0, "N/A", (C37-B37)/B37)</f>
        <v/>
      </c>
      <c r="E37" s="3" t="n">
        <v>41</v>
      </c>
      <c r="F37" s="3" t="n">
        <v>14</v>
      </c>
      <c r="G37" s="6">
        <f>IF(E37=0, "N/A", (F37-E37)/E37)</f>
        <v/>
      </c>
      <c r="H37" s="3" t="n">
        <v>49</v>
      </c>
      <c r="I37" s="3" t="n">
        <v>70</v>
      </c>
      <c r="J37" s="6">
        <f>IF(H37=0, "N/A", (I37-H37)/H37)</f>
        <v/>
      </c>
      <c r="K37" s="3">
        <f>B37+E37+H37</f>
        <v/>
      </c>
      <c r="L37" s="3">
        <f>C37+F37+I37</f>
        <v/>
      </c>
      <c r="M37" s="6">
        <f>IF(K37=0, "N/A", (L37-K37)/K37)</f>
        <v/>
      </c>
    </row>
    <row r="38">
      <c r="A38" s="2" t="inlineStr">
        <is>
          <t>Buzos C Capucha</t>
        </is>
      </c>
      <c r="B38" s="3" t="n">
        <v>21</v>
      </c>
      <c r="C38" s="3" t="n">
        <v>12</v>
      </c>
      <c r="D38" s="6">
        <f>IF(B38=0, "N/A", (C38-B38)/B38)</f>
        <v/>
      </c>
      <c r="E38" s="3" t="n">
        <v>23</v>
      </c>
      <c r="F38" s="3" t="n">
        <v>7</v>
      </c>
      <c r="G38" s="6">
        <f>IF(E38=0, "N/A", (F38-E38)/E38)</f>
        <v/>
      </c>
      <c r="H38" s="3" t="n">
        <v>50</v>
      </c>
      <c r="I38" s="3" t="n">
        <v>23</v>
      </c>
      <c r="J38" s="6">
        <f>IF(H38=0, "N/A", (I38-H38)/H38)</f>
        <v/>
      </c>
      <c r="K38" s="3">
        <f>B38+E38+H38</f>
        <v/>
      </c>
      <c r="L38" s="3">
        <f>C38+F38+I38</f>
        <v/>
      </c>
      <c r="M38" s="6">
        <f>IF(K38=0, "N/A", (L38-K38)/K38)</f>
        <v/>
      </c>
    </row>
    <row r="39">
      <c r="A39" s="2" t="inlineStr">
        <is>
          <t>Buzos C Capucha Orangutan</t>
        </is>
      </c>
      <c r="B39" s="3" t="n"/>
      <c r="C39" s="3" t="n">
        <v>2</v>
      </c>
      <c r="D39" s="6">
        <f>IF(B39=0, "N/A", (C39-B39)/B39)</f>
        <v/>
      </c>
      <c r="E39" s="3" t="n"/>
      <c r="F39" s="3" t="n">
        <v>3</v>
      </c>
      <c r="G39" s="6">
        <f>IF(E39=0, "N/A", (F39-E39)/E39)</f>
        <v/>
      </c>
      <c r="H39" s="3" t="n"/>
      <c r="I39" s="3" t="n">
        <v>32</v>
      </c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Buzos C Redondo Orangutan</t>
        </is>
      </c>
      <c r="B40" s="3" t="n"/>
      <c r="C40" s="3" t="n">
        <v>1</v>
      </c>
      <c r="D40" s="6">
        <f>IF(B40=0, "N/A", (C40-B40)/B40)</f>
        <v/>
      </c>
      <c r="E40" s="3" t="n"/>
      <c r="F40" s="3" t="n">
        <v>1</v>
      </c>
      <c r="G40" s="6">
        <f>IF(E40=0, "N/A", (F40-E40)/E40)</f>
        <v/>
      </c>
      <c r="H40" s="3" t="n"/>
      <c r="I40" s="3" t="n">
        <v>3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Buzos C Redondo Rustico</t>
        </is>
      </c>
      <c r="B41" s="3" t="n"/>
      <c r="C41" s="3" t="n"/>
      <c r="D41" s="6">
        <f>IF(B41=0, "N/A", (C41-B41)/B41)</f>
        <v/>
      </c>
      <c r="E41" s="3" t="n"/>
      <c r="F41" s="3" t="n"/>
      <c r="G41" s="6">
        <f>IF(E41=0, "N/A", (F41-E41)/E41)</f>
        <v/>
      </c>
      <c r="H41" s="3" t="n"/>
      <c r="I41" s="3" t="n">
        <v>4</v>
      </c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Buzos Medio Cierre</t>
        </is>
      </c>
      <c r="B42" s="3" t="n"/>
      <c r="C42" s="3" t="n"/>
      <c r="D42" s="6">
        <f>IF(B42=0, "N/A", (C42-B42)/B42)</f>
        <v/>
      </c>
      <c r="E42" s="3" t="n">
        <v>2</v>
      </c>
      <c r="F42" s="3" t="n"/>
      <c r="G42" s="6">
        <f>IF(E42=0, "N/A", (F42-E42)/E42)</f>
        <v/>
      </c>
      <c r="H42" s="3" t="n">
        <v>-1</v>
      </c>
      <c r="I42" s="3" t="n">
        <v>1</v>
      </c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Calzado</t>
        </is>
      </c>
      <c r="B43" s="3" t="n"/>
      <c r="C43" s="3" t="n"/>
      <c r="D43" s="6">
        <f>IF(B43=0, "N/A", (C43-B43)/B43)</f>
        <v/>
      </c>
      <c r="E43" s="3" t="n"/>
      <c r="F43" s="3" t="n"/>
      <c r="G43" s="6">
        <f>IF(E43=0, "N/A", (F43-E43)/E43)</f>
        <v/>
      </c>
      <c r="H43" s="3" t="n"/>
      <c r="I43" s="3" t="n">
        <v>1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Camisas</t>
        </is>
      </c>
      <c r="B44" s="3" t="n">
        <v>3</v>
      </c>
      <c r="C44" s="3" t="n">
        <v>5</v>
      </c>
      <c r="D44" s="6">
        <f>IF(B44=0, "N/A", (C44-B44)/B44)</f>
        <v/>
      </c>
      <c r="E44" s="3" t="n">
        <v>1</v>
      </c>
      <c r="F44" s="3" t="n">
        <v>2</v>
      </c>
      <c r="G44" s="6">
        <f>IF(E44=0, "N/A", (F44-E44)/E44)</f>
        <v/>
      </c>
      <c r="H44" s="3" t="n">
        <v>10</v>
      </c>
      <c r="I44" s="3" t="n"/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Camisetas Manga Larga</t>
        </is>
      </c>
      <c r="B45" s="3" t="n">
        <v>15</v>
      </c>
      <c r="C45" s="3" t="n">
        <v>9</v>
      </c>
      <c r="D45" s="6">
        <f>IF(B45=0, "N/A", (C45-B45)/B45)</f>
        <v/>
      </c>
      <c r="E45" s="3" t="n">
        <v>4</v>
      </c>
      <c r="F45" s="3" t="n">
        <v>11</v>
      </c>
      <c r="G45" s="6">
        <f>IF(E45=0, "N/A", (F45-E45)/E45)</f>
        <v/>
      </c>
      <c r="H45" s="3" t="n">
        <v>16</v>
      </c>
      <c r="I45" s="3" t="n">
        <v>2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Camisetas Manga Larga Orangutan</t>
        </is>
      </c>
      <c r="B46" s="3" t="n"/>
      <c r="C46" s="3" t="n">
        <v>2</v>
      </c>
      <c r="D46" s="6">
        <f>IF(B46=0, "N/A", (C46-B46)/B46)</f>
        <v/>
      </c>
      <c r="E46" s="3" t="n"/>
      <c r="F46" s="3" t="n">
        <v>2</v>
      </c>
      <c r="G46" s="6">
        <f>IF(E46=0, "N/A", (F46-E46)/E46)</f>
        <v/>
      </c>
      <c r="H46" s="3" t="n"/>
      <c r="I46" s="3" t="n">
        <v>14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Campera S Capucha</t>
        </is>
      </c>
      <c r="B47" s="3" t="n">
        <v>6</v>
      </c>
      <c r="C47" s="3" t="n">
        <v>1</v>
      </c>
      <c r="D47" s="6">
        <f>IF(B47=0, "N/A", (C47-B47)/B47)</f>
        <v/>
      </c>
      <c r="E47" s="3" t="n">
        <v>1</v>
      </c>
      <c r="F47" s="3" t="n"/>
      <c r="G47" s="6">
        <f>IF(E47=0, "N/A", (F47-E47)/E47)</f>
        <v/>
      </c>
      <c r="H47" s="3" t="n">
        <v>11</v>
      </c>
      <c r="I47" s="3" t="n">
        <v>2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Camperas Capucha</t>
        </is>
      </c>
      <c r="B48" s="3" t="n">
        <v>2</v>
      </c>
      <c r="C48" s="3" t="n">
        <v>4</v>
      </c>
      <c r="D48" s="6">
        <f>IF(B48=0, "N/A", (C48-B48)/B48)</f>
        <v/>
      </c>
      <c r="E48" s="3" t="n">
        <v>-1</v>
      </c>
      <c r="F48" s="3" t="n">
        <v>7</v>
      </c>
      <c r="G48" s="6">
        <f>IF(E48=0, "N/A", (F48-E48)/E48)</f>
        <v/>
      </c>
      <c r="H48" s="3" t="n">
        <v>16</v>
      </c>
      <c r="I48" s="3" t="n">
        <v>25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Camperas De Abrigo</t>
        </is>
      </c>
      <c r="B49" s="3" t="n">
        <v>13</v>
      </c>
      <c r="C49" s="3" t="n">
        <v>2</v>
      </c>
      <c r="D49" s="6">
        <f>IF(B49=0, "N/A", (C49-B49)/B49)</f>
        <v/>
      </c>
      <c r="E49" s="3" t="n">
        <v>5</v>
      </c>
      <c r="F49" s="3" t="n">
        <v>-7</v>
      </c>
      <c r="G49" s="6">
        <f>IF(E49=0, "N/A", (F49-E49)/E49)</f>
        <v/>
      </c>
      <c r="H49" s="3" t="n">
        <v>9</v>
      </c>
      <c r="I49" s="3" t="n">
        <v>9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Chombas</t>
        </is>
      </c>
      <c r="B50" s="3" t="n">
        <v>9</v>
      </c>
      <c r="C50" s="3" t="n">
        <v>4</v>
      </c>
      <c r="D50" s="6">
        <f>IF(B50=0, "N/A", (C50-B50)/B50)</f>
        <v/>
      </c>
      <c r="E50" s="3" t="n">
        <v>9</v>
      </c>
      <c r="F50" s="3" t="n">
        <v>2</v>
      </c>
      <c r="G50" s="6">
        <f>IF(E50=0, "N/A", (F50-E50)/E50)</f>
        <v/>
      </c>
      <c r="H50" s="3" t="n">
        <v>4</v>
      </c>
      <c r="I50" s="3" t="n">
        <v>3</v>
      </c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Chombas Manga Larga</t>
        </is>
      </c>
      <c r="B51" s="3" t="n"/>
      <c r="C51" s="3" t="n">
        <v>1</v>
      </c>
      <c r="D51" s="6">
        <f>IF(B51=0, "N/A", (C51-B51)/B51)</f>
        <v/>
      </c>
      <c r="E51" s="3" t="n"/>
      <c r="F51" s="3" t="n">
        <v>3</v>
      </c>
      <c r="G51" s="6">
        <f>IF(E51=0, "N/A", (F51-E51)/E51)</f>
        <v/>
      </c>
      <c r="H51" s="3" t="n"/>
      <c r="I51" s="3" t="n"/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Jeans</t>
        </is>
      </c>
      <c r="B52" s="3" t="n">
        <v>30</v>
      </c>
      <c r="C52" s="3" t="n">
        <v>18</v>
      </c>
      <c r="D52" s="6">
        <f>IF(B52=0, "N/A", (C52-B52)/B52)</f>
        <v/>
      </c>
      <c r="E52" s="3" t="n">
        <v>10</v>
      </c>
      <c r="F52" s="3" t="n">
        <v>24</v>
      </c>
      <c r="G52" s="6">
        <f>IF(E52=0, "N/A", (F52-E52)/E52)</f>
        <v/>
      </c>
      <c r="H52" s="3" t="n">
        <v>98</v>
      </c>
      <c r="I52" s="3" t="n">
        <v>158</v>
      </c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Jogging</t>
        </is>
      </c>
      <c r="B53" s="3" t="n">
        <v>3</v>
      </c>
      <c r="C53" s="3" t="n"/>
      <c r="D53" s="6">
        <f>IF(B53=0, "N/A", (C53-B53)/B53)</f>
        <v/>
      </c>
      <c r="E53" s="3" t="n">
        <v>3</v>
      </c>
      <c r="F53" s="3" t="n">
        <v>4</v>
      </c>
      <c r="G53" s="6">
        <f>IF(E53=0, "N/A", (F53-E53)/E53)</f>
        <v/>
      </c>
      <c r="H53" s="3" t="n">
        <v>5</v>
      </c>
      <c r="I53" s="3" t="n">
        <v>7</v>
      </c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Otro</t>
        </is>
      </c>
      <c r="B54" s="3" t="n">
        <v>1</v>
      </c>
      <c r="C54" s="3" t="n"/>
      <c r="D54" s="6">
        <f>IF(B54=0, "N/A", (C54-B54)/B54)</f>
        <v/>
      </c>
      <c r="E54" s="3" t="n">
        <v>1</v>
      </c>
      <c r="F54" s="3" t="n"/>
      <c r="G54" s="6">
        <f>IF(E54=0, "N/A", (F54-E54)/E54)</f>
        <v/>
      </c>
      <c r="H54" s="3" t="n"/>
      <c r="I54" s="3" t="n"/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2" t="inlineStr">
        <is>
          <t>Remeras</t>
        </is>
      </c>
      <c r="B55" s="3" t="n">
        <v>25</v>
      </c>
      <c r="C55" s="3" t="n">
        <v>10</v>
      </c>
      <c r="D55" s="6">
        <f>IF(B55=0, "N/A", (C55-B55)/B55)</f>
        <v/>
      </c>
      <c r="E55" s="3" t="n">
        <v>30</v>
      </c>
      <c r="F55" s="3" t="n">
        <v>48</v>
      </c>
      <c r="G55" s="6">
        <f>IF(E55=0, "N/A", (F55-E55)/E55)</f>
        <v/>
      </c>
      <c r="H55" s="3" t="n">
        <v>149</v>
      </c>
      <c r="I55" s="3" t="n">
        <v>125</v>
      </c>
      <c r="J55" s="6">
        <f>IF(H55=0, "N/A", (I55-H55)/H55)</f>
        <v/>
      </c>
      <c r="K55" s="3">
        <f>B55+E55+H55</f>
        <v/>
      </c>
      <c r="L55" s="3">
        <f>C55+F55+I55</f>
        <v/>
      </c>
      <c r="M55" s="6">
        <f>IF(K55=0, "N/A", (L55-K55)/K55)</f>
        <v/>
      </c>
    </row>
    <row r="56">
      <c r="A56" s="2" t="inlineStr">
        <is>
          <t>Sweaters</t>
        </is>
      </c>
      <c r="B56" s="3" t="n">
        <v>7</v>
      </c>
      <c r="C56" s="3" t="n">
        <v>3</v>
      </c>
      <c r="D56" s="6">
        <f>IF(B56=0, "N/A", (C56-B56)/B56)</f>
        <v/>
      </c>
      <c r="E56" s="3" t="n">
        <v>12</v>
      </c>
      <c r="F56" s="3" t="n">
        <v>2</v>
      </c>
      <c r="G56" s="6">
        <f>IF(E56=0, "N/A", (F56-E56)/E56)</f>
        <v/>
      </c>
      <c r="H56" s="3" t="n">
        <v>21</v>
      </c>
      <c r="I56" s="3" t="n">
        <v>1</v>
      </c>
      <c r="J56" s="6">
        <f>IF(H56=0, "N/A", (I56-H56)/H56)</f>
        <v/>
      </c>
      <c r="K56" s="3">
        <f>B56+E56+H56</f>
        <v/>
      </c>
      <c r="L56" s="3">
        <f>C56+F56+I56</f>
        <v/>
      </c>
      <c r="M56" s="6">
        <f>IF(K56=0, "N/A", (L56-K56)/K56)</f>
        <v/>
      </c>
    </row>
    <row r="57">
      <c r="A57" s="2" t="inlineStr">
        <is>
          <t>Trajes De Baño</t>
        </is>
      </c>
      <c r="B57" s="3" t="n">
        <v>2</v>
      </c>
      <c r="C57" s="3" t="n"/>
      <c r="D57" s="6">
        <f>IF(B57=0, "N/A", (C57-B57)/B57)</f>
        <v/>
      </c>
      <c r="E57" s="3" t="n"/>
      <c r="F57" s="3" t="n"/>
      <c r="G57" s="6">
        <f>IF(E57=0, "N/A", (F57-E57)/E57)</f>
        <v/>
      </c>
      <c r="H57" s="3" t="n"/>
      <c r="I57" s="3" t="n"/>
      <c r="J57" s="6">
        <f>IF(H57=0, "N/A", (I57-H57)/H57)</f>
        <v/>
      </c>
      <c r="K57" s="3">
        <f>B57+E57+H57</f>
        <v/>
      </c>
      <c r="L57" s="3">
        <f>C57+F57+I57</f>
        <v/>
      </c>
      <c r="M57" s="6">
        <f>IF(K57=0, "N/A", (L57-K57)/K57)</f>
        <v/>
      </c>
    </row>
    <row r="58">
      <c r="A58" s="5" t="inlineStr">
        <is>
          <t>Totals</t>
        </is>
      </c>
      <c r="B58" s="4">
        <f>SUM($B33:$B57)</f>
        <v/>
      </c>
      <c r="C58" s="4">
        <f>SUM($C33:$C57)</f>
        <v/>
      </c>
      <c r="D58" s="7">
        <f>IF(B58=0, "N/A", (C58-B58)/B58)</f>
        <v/>
      </c>
      <c r="E58" s="4">
        <f>SUM($E33:$E57)</f>
        <v/>
      </c>
      <c r="F58" s="4">
        <f>SUM($F33:$F57)</f>
        <v/>
      </c>
      <c r="G58" s="7">
        <f>IF(E58=0, "N/A", (F58-E58)/E58)</f>
        <v/>
      </c>
      <c r="H58" s="4">
        <f>SUM($H33:$H57)</f>
        <v/>
      </c>
      <c r="I58" s="4">
        <f>SUM($I33:$I57)</f>
        <v/>
      </c>
      <c r="J58" s="7">
        <f>IF(H58=0, "N/A", (I58-H58)/H58)</f>
        <v/>
      </c>
      <c r="K58" s="4">
        <f>SUM($K33:$K57)</f>
        <v/>
      </c>
      <c r="L58" s="4">
        <f>SUM($L33:$L57)</f>
        <v/>
      </c>
      <c r="M58" s="7">
        <f>IF(K58=0, "N/A", (L58-K58)/K58)</f>
        <v/>
      </c>
    </row>
    <row r="61">
      <c r="A61" s="1" t="inlineStr">
        <is>
          <t>YoY Units Sold Comparison - Branch Group 2</t>
        </is>
      </c>
    </row>
    <row r="62">
      <c r="B62" s="1" t="inlineStr">
        <is>
          <t>VIRREYES</t>
        </is>
      </c>
      <c r="C62" s="1" t="n"/>
      <c r="D62" s="1" t="n"/>
    </row>
    <row r="63">
      <c r="A63" s="1" t="inlineStr">
        <is>
          <t>Familias</t>
        </is>
      </c>
      <c r="B63" s="1" t="n">
        <v>2025</v>
      </c>
      <c r="C63" s="1" t="n">
        <v>2026</v>
      </c>
      <c r="D63" s="1" t="inlineStr">
        <is>
          <t>%</t>
        </is>
      </c>
    </row>
    <row r="64">
      <c r="A64" s="2" t="inlineStr">
        <is>
          <t>Accesorios</t>
        </is>
      </c>
      <c r="B64" s="3" t="n">
        <v>2</v>
      </c>
      <c r="C64" s="3" t="n"/>
      <c r="D64" s="6">
        <f>IF(B64=0, "N/A", (C64-B64)/B64)</f>
        <v/>
      </c>
    </row>
    <row r="65">
      <c r="A65" s="2" t="inlineStr">
        <is>
          <t>Boxer</t>
        </is>
      </c>
      <c r="B65" s="3" t="n">
        <v>2</v>
      </c>
      <c r="C65" s="3" t="n"/>
      <c r="D65" s="6">
        <f>IF(B65=0, "N/A", (C65-B65)/B65)</f>
        <v/>
      </c>
    </row>
    <row r="66">
      <c r="A66" s="2" t="inlineStr">
        <is>
          <t>Buzo Cuello Redondo</t>
        </is>
      </c>
      <c r="B66" s="3" t="n"/>
      <c r="C66" s="3" t="n">
        <v>1</v>
      </c>
      <c r="D66" s="6">
        <f>IF(B66=0, "N/A", (C66-B66)/B66)</f>
        <v/>
      </c>
    </row>
    <row r="67">
      <c r="A67" s="2" t="inlineStr">
        <is>
          <t>Buzos C Capucha</t>
        </is>
      </c>
      <c r="B67" s="3" t="n">
        <v>3</v>
      </c>
      <c r="C67" s="3" t="n"/>
      <c r="D67" s="6">
        <f>IF(B67=0, "N/A", (C67-B67)/B67)</f>
        <v/>
      </c>
    </row>
    <row r="68">
      <c r="A68" s="2" t="inlineStr">
        <is>
          <t>Buzos C Capucha Orangutan</t>
        </is>
      </c>
      <c r="B68" s="3" t="n"/>
      <c r="C68" s="3" t="n">
        <v>4</v>
      </c>
      <c r="D68" s="6">
        <f>IF(B68=0, "N/A", (C68-B68)/B68)</f>
        <v/>
      </c>
    </row>
    <row r="69">
      <c r="A69" s="2" t="inlineStr">
        <is>
          <t>Buzos C Redondo Orangutan</t>
        </is>
      </c>
      <c r="B69" s="3" t="n"/>
      <c r="C69" s="3" t="n">
        <v>2</v>
      </c>
      <c r="D69" s="6">
        <f>IF(B69=0, "N/A", (C69-B69)/B69)</f>
        <v/>
      </c>
    </row>
    <row r="70">
      <c r="A70" s="2" t="inlineStr">
        <is>
          <t>Buzos Medio Cierre</t>
        </is>
      </c>
      <c r="B70" s="3" t="n">
        <v>1</v>
      </c>
      <c r="C70" s="3" t="n"/>
      <c r="D70" s="6">
        <f>IF(B70=0, "N/A", (C70-B70)/B70)</f>
        <v/>
      </c>
    </row>
    <row r="71">
      <c r="A71" s="2" t="inlineStr">
        <is>
          <t>Camisas</t>
        </is>
      </c>
      <c r="B71" s="3" t="n">
        <v>2</v>
      </c>
      <c r="C71" s="3" t="n"/>
      <c r="D71" s="6">
        <f>IF(B71=0, "N/A", (C71-B71)/B71)</f>
        <v/>
      </c>
    </row>
    <row r="72">
      <c r="A72" s="2" t="inlineStr">
        <is>
          <t>Camperas Capucha</t>
        </is>
      </c>
      <c r="B72" s="3" t="n">
        <v>1</v>
      </c>
      <c r="C72" s="3" t="n"/>
      <c r="D72" s="6">
        <f>IF(B72=0, "N/A", (C72-B72)/B72)</f>
        <v/>
      </c>
    </row>
    <row r="73">
      <c r="A73" s="2" t="inlineStr">
        <is>
          <t>Camperas De Abrigo</t>
        </is>
      </c>
      <c r="B73" s="3" t="n"/>
      <c r="C73" s="3" t="n"/>
      <c r="D73" s="6">
        <f>IF(B73=0, "N/A", (C73-B73)/B73)</f>
        <v/>
      </c>
    </row>
    <row r="74">
      <c r="A74" s="2" t="inlineStr">
        <is>
          <t>Detroit</t>
        </is>
      </c>
      <c r="B74" s="3" t="n"/>
      <c r="C74" s="3" t="n">
        <v>1</v>
      </c>
      <c r="D74" s="6">
        <f>IF(B74=0, "N/A", (C74-B74)/B74)</f>
        <v/>
      </c>
    </row>
    <row r="75">
      <c r="A75" s="2" t="inlineStr">
        <is>
          <t>Jeans</t>
        </is>
      </c>
      <c r="B75" s="3" t="n">
        <v>5</v>
      </c>
      <c r="C75" s="3" t="n">
        <v>4</v>
      </c>
      <c r="D75" s="6">
        <f>IF(B75=0, "N/A", (C75-B75)/B75)</f>
        <v/>
      </c>
    </row>
    <row r="76">
      <c r="A76" s="2" t="inlineStr">
        <is>
          <t>Jogging</t>
        </is>
      </c>
      <c r="B76" s="3" t="n">
        <v>1</v>
      </c>
      <c r="C76" s="3" t="n"/>
      <c r="D76" s="6">
        <f>IF(B76=0, "N/A", (C76-B76)/B76)</f>
        <v/>
      </c>
    </row>
    <row r="77">
      <c r="A77" s="2" t="inlineStr">
        <is>
          <t>Remeras</t>
        </is>
      </c>
      <c r="B77" s="3" t="n">
        <v>20</v>
      </c>
      <c r="C77" s="3" t="n">
        <v>3</v>
      </c>
      <c r="D77" s="6">
        <f>IF(B77=0, "N/A", (C77-B77)/B77)</f>
        <v/>
      </c>
    </row>
    <row r="78">
      <c r="A78" s="2" t="inlineStr">
        <is>
          <t>Sweaters</t>
        </is>
      </c>
      <c r="B78" s="3" t="n">
        <v>1</v>
      </c>
      <c r="C78" s="3" t="n"/>
      <c r="D78" s="6">
        <f>IF(B78=0, "N/A", (C78-B78)/B78)</f>
        <v/>
      </c>
    </row>
    <row r="79">
      <c r="A79" s="5" t="inlineStr">
        <is>
          <t>Totals</t>
        </is>
      </c>
      <c r="B79" s="4">
        <f>SUM($B64:$B78)</f>
        <v/>
      </c>
      <c r="C79" s="4">
        <f>SUM($C64:$C78)</f>
        <v/>
      </c>
      <c r="D79" s="7">
        <f>IF(B79=0, "N/A", (C79-B79)/B79)</f>
        <v/>
      </c>
    </row>
    <row r="82">
      <c r="A82" s="1" t="inlineStr">
        <is>
          <t>Sales Amount from August 01, 2026 to August 12, 2026</t>
        </is>
      </c>
    </row>
    <row r="83">
      <c r="A83" s="1" t="inlineStr">
        <is>
          <t>Familias</t>
        </is>
      </c>
      <c r="B83" s="1" t="inlineStr">
        <is>
          <t>LIBERT.R</t>
        </is>
      </c>
      <c r="C83" s="1" t="inlineStr">
        <is>
          <t>PASO.R</t>
        </is>
      </c>
      <c r="D83" s="1" t="inlineStr">
        <is>
          <t>P.OESTE</t>
        </is>
      </c>
      <c r="E83" s="1" t="inlineStr">
        <is>
          <t>VIRREYES</t>
        </is>
      </c>
      <c r="F83" s="1" t="inlineStr">
        <is>
          <t>Totals</t>
        </is>
      </c>
    </row>
    <row r="84">
      <c r="A84" s="2" t="inlineStr">
        <is>
          <t>Accesorios</t>
        </is>
      </c>
      <c r="B84" s="8" t="n">
        <v>68900</v>
      </c>
      <c r="C84" s="8" t="n">
        <v>231231.6664</v>
      </c>
      <c r="D84" s="8" t="n">
        <v>727780.0012000001</v>
      </c>
      <c r="E84" s="8" t="n"/>
      <c r="F84" s="9">
        <f>B84+C84+D84+E84</f>
        <v/>
      </c>
    </row>
    <row r="85">
      <c r="A85" s="2" t="inlineStr">
        <is>
          <t>Bermudas</t>
        </is>
      </c>
      <c r="B85" s="8" t="n"/>
      <c r="C85" s="8" t="n">
        <v>59800</v>
      </c>
      <c r="D85" s="8" t="n"/>
      <c r="E85" s="8" t="n"/>
      <c r="F85" s="9">
        <f>B85+C85+D85+E85</f>
        <v/>
      </c>
    </row>
    <row r="86">
      <c r="A86" s="2" t="inlineStr">
        <is>
          <t>Boxer</t>
        </is>
      </c>
      <c r="B86" s="8" t="n">
        <v>71537.9969</v>
      </c>
      <c r="C86" s="8" t="n">
        <v>44700</v>
      </c>
      <c r="D86" s="8" t="n">
        <v>283100</v>
      </c>
      <c r="E86" s="8" t="n"/>
      <c r="F86" s="9">
        <f>B86+C86+D86+E86</f>
        <v/>
      </c>
    </row>
    <row r="87">
      <c r="A87" s="2" t="inlineStr">
        <is>
          <t>Buzo C Capucha Rustico</t>
        </is>
      </c>
      <c r="B87" s="8" t="n"/>
      <c r="C87" s="8" t="n"/>
      <c r="D87" s="8" t="n">
        <v>129800</v>
      </c>
      <c r="E87" s="8" t="n"/>
      <c r="F87" s="9">
        <f>B87+C87+D87+E87</f>
        <v/>
      </c>
    </row>
    <row r="88">
      <c r="A88" s="2" t="inlineStr">
        <is>
          <t>Buzo Cuello Redondo</t>
        </is>
      </c>
      <c r="B88" s="8" t="n">
        <v>1069909.8974</v>
      </c>
      <c r="C88" s="8" t="n">
        <v>675191.6217</v>
      </c>
      <c r="D88" s="8" t="n">
        <v>3653415.5412</v>
      </c>
      <c r="E88" s="8" t="n">
        <v>34200</v>
      </c>
      <c r="F88" s="9">
        <f>B88+C88+D88+E88</f>
        <v/>
      </c>
    </row>
    <row r="89">
      <c r="A89" s="2" t="inlineStr">
        <is>
          <t>Buzos C Capucha</t>
        </is>
      </c>
      <c r="B89" s="8" t="n">
        <v>686298.818</v>
      </c>
      <c r="C89" s="8" t="n">
        <v>394010</v>
      </c>
      <c r="D89" s="8" t="n">
        <v>1508010</v>
      </c>
      <c r="E89" s="8" t="n"/>
      <c r="F89" s="9">
        <f>B89+C89+D89+E89</f>
        <v/>
      </c>
    </row>
    <row r="90">
      <c r="A90" s="2" t="inlineStr">
        <is>
          <t>Buzos C Capucha Orangutan</t>
        </is>
      </c>
      <c r="B90" s="8" t="n">
        <v>100530.0681</v>
      </c>
      <c r="C90" s="8" t="n">
        <v>156224.2602</v>
      </c>
      <c r="D90" s="8" t="n">
        <v>1639729</v>
      </c>
      <c r="E90" s="8" t="n">
        <v>184629.9998</v>
      </c>
      <c r="F90" s="9">
        <f>B90+C90+D90+E90</f>
        <v/>
      </c>
    </row>
    <row r="91">
      <c r="A91" s="2" t="inlineStr">
        <is>
          <t>Buzos C Redondo Orangutan</t>
        </is>
      </c>
      <c r="B91" s="8" t="n">
        <v>39900</v>
      </c>
      <c r="C91" s="8" t="n">
        <v>35910</v>
      </c>
      <c r="D91" s="8" t="n">
        <v>119700</v>
      </c>
      <c r="E91" s="8" t="n">
        <v>77800</v>
      </c>
      <c r="F91" s="9">
        <f>B91+C91+D91+E91</f>
        <v/>
      </c>
    </row>
    <row r="92">
      <c r="A92" s="2" t="inlineStr">
        <is>
          <t>Buzos C Redondo Rustico</t>
        </is>
      </c>
      <c r="B92" s="8" t="n"/>
      <c r="C92" s="8" t="n"/>
      <c r="D92" s="8" t="n">
        <v>223600</v>
      </c>
      <c r="E92" s="8" t="n"/>
      <c r="F92" s="9">
        <f>B92+C92+D92+E92</f>
        <v/>
      </c>
    </row>
    <row r="93">
      <c r="A93" s="2" t="inlineStr">
        <is>
          <t>Buzos Medio Cierre</t>
        </is>
      </c>
      <c r="B93" s="8" t="n"/>
      <c r="C93" s="8" t="n"/>
      <c r="D93" s="8" t="n">
        <v>49000</v>
      </c>
      <c r="E93" s="8" t="n"/>
      <c r="F93" s="9">
        <f>B93+C93+D93+E93</f>
        <v/>
      </c>
    </row>
    <row r="94">
      <c r="A94" s="2" t="inlineStr">
        <is>
          <t>Calzado</t>
        </is>
      </c>
      <c r="B94" s="8" t="n"/>
      <c r="C94" s="8" t="n"/>
      <c r="D94" s="8" t="n">
        <v>39000</v>
      </c>
      <c r="E94" s="8" t="n"/>
      <c r="F94" s="9">
        <f>B94+C94+D94+E94</f>
        <v/>
      </c>
    </row>
    <row r="95">
      <c r="A95" s="2" t="inlineStr">
        <is>
          <t>Camisas</t>
        </is>
      </c>
      <c r="B95" s="8" t="n">
        <v>204000</v>
      </c>
      <c r="C95" s="8" t="n">
        <v>101750</v>
      </c>
      <c r="D95" s="8" t="n"/>
      <c r="E95" s="8" t="n"/>
      <c r="F95" s="9">
        <f>B95+C95+D95+E95</f>
        <v/>
      </c>
    </row>
    <row r="96">
      <c r="A96" s="2" t="inlineStr">
        <is>
          <t>Camisetas Manga Larga</t>
        </is>
      </c>
      <c r="B96" s="8" t="n">
        <v>243100</v>
      </c>
      <c r="C96" s="8" t="n">
        <v>322686.7454</v>
      </c>
      <c r="D96" s="8" t="n">
        <v>73900</v>
      </c>
      <c r="E96" s="8" t="n"/>
      <c r="F96" s="9">
        <f>B96+C96+D96+E96</f>
        <v/>
      </c>
    </row>
    <row r="97">
      <c r="A97" s="2" t="inlineStr">
        <is>
          <t>Camisetas Manga Larga Orangutan</t>
        </is>
      </c>
      <c r="B97" s="8" t="n">
        <v>51800</v>
      </c>
      <c r="C97" s="8" t="n">
        <v>50587.86990000001</v>
      </c>
      <c r="D97" s="8" t="n">
        <v>330706.4352</v>
      </c>
      <c r="E97" s="8" t="n"/>
      <c r="F97" s="9">
        <f>B97+C97+D97+E97</f>
        <v/>
      </c>
    </row>
    <row r="98">
      <c r="A98" s="2" t="inlineStr">
        <is>
          <t>Campera S Capucha</t>
        </is>
      </c>
      <c r="B98" s="8" t="n">
        <v>79000</v>
      </c>
      <c r="C98" s="8" t="n"/>
      <c r="D98" s="8" t="n">
        <v>147000</v>
      </c>
      <c r="E98" s="8" t="n"/>
      <c r="F98" s="9">
        <f>B98+C98+D98+E98</f>
        <v/>
      </c>
    </row>
    <row r="99">
      <c r="A99" s="2" t="inlineStr">
        <is>
          <t>Camperas Capucha</t>
        </is>
      </c>
      <c r="B99" s="8" t="n">
        <v>242700</v>
      </c>
      <c r="C99" s="8" t="n">
        <v>357777.3243</v>
      </c>
      <c r="D99" s="8" t="n">
        <v>1818094.4589</v>
      </c>
      <c r="E99" s="8" t="n"/>
      <c r="F99" s="9">
        <f>B99+C99+D99+E99</f>
        <v/>
      </c>
    </row>
    <row r="100">
      <c r="A100" s="2" t="inlineStr">
        <is>
          <t>Camperas De Abrigo</t>
        </is>
      </c>
      <c r="B100" s="8" t="n">
        <v>119800</v>
      </c>
      <c r="C100" s="8" t="n"/>
      <c r="D100" s="8" t="n">
        <v>631200</v>
      </c>
      <c r="E100" s="8" t="n"/>
      <c r="F100" s="9">
        <f>B100+C100+D100+E100</f>
        <v/>
      </c>
    </row>
    <row r="101">
      <c r="A101" s="2" t="inlineStr">
        <is>
          <t>Chombas</t>
        </is>
      </c>
      <c r="B101" s="8" t="n">
        <v>114350</v>
      </c>
      <c r="C101" s="8" t="n">
        <v>21900</v>
      </c>
      <c r="D101" s="8" t="n">
        <v>87210</v>
      </c>
      <c r="E101" s="8" t="n"/>
      <c r="F101" s="9">
        <f>B101+C101+D101+E101</f>
        <v/>
      </c>
    </row>
    <row r="102">
      <c r="A102" s="2" t="inlineStr">
        <is>
          <t>Chombas Manga Larga</t>
        </is>
      </c>
      <c r="B102" s="8" t="n">
        <v>35900</v>
      </c>
      <c r="C102" s="8" t="n">
        <v>107700</v>
      </c>
      <c r="D102" s="8" t="n"/>
      <c r="E102" s="8" t="n"/>
      <c r="F102" s="9">
        <f>B102+C102+D102+E102</f>
        <v/>
      </c>
    </row>
    <row r="103">
      <c r="A103" s="2" t="inlineStr">
        <is>
          <t>Detroit</t>
        </is>
      </c>
      <c r="B103" s="8" t="n"/>
      <c r="C103" s="8" t="n"/>
      <c r="D103" s="8" t="n"/>
      <c r="E103" s="8" t="n">
        <v>31410</v>
      </c>
      <c r="F103" s="9">
        <f>B103+C103+D103+E103</f>
        <v/>
      </c>
    </row>
    <row r="104">
      <c r="A104" s="2" t="inlineStr">
        <is>
          <t>Jeans</t>
        </is>
      </c>
      <c r="B104" s="8" t="n">
        <v>1160072.0382</v>
      </c>
      <c r="C104" s="8" t="n">
        <v>1248229.9203</v>
      </c>
      <c r="D104" s="8" t="n">
        <v>10077844.5648</v>
      </c>
      <c r="E104" s="8" t="n">
        <v>143382</v>
      </c>
      <c r="F104" s="9">
        <f>B104+C104+D104+E104</f>
        <v/>
      </c>
    </row>
    <row r="105">
      <c r="A105" s="2" t="inlineStr">
        <is>
          <t>Jogging</t>
        </is>
      </c>
      <c r="B105" s="8" t="n"/>
      <c r="C105" s="8" t="n">
        <v>99500</v>
      </c>
      <c r="D105" s="8" t="n">
        <v>340150.0015</v>
      </c>
      <c r="E105" s="8" t="n"/>
      <c r="F105" s="9">
        <f>B105+C105+D105+E105</f>
        <v/>
      </c>
    </row>
    <row r="106">
      <c r="A106" s="2" t="inlineStr">
        <is>
          <t>Remeras</t>
        </is>
      </c>
      <c r="B106" s="8" t="n">
        <v>235821.1814</v>
      </c>
      <c r="C106" s="8" t="n">
        <v>1262224.5918</v>
      </c>
      <c r="D106" s="8" t="n">
        <v>3595324.9972</v>
      </c>
      <c r="E106" s="8" t="n">
        <v>50310.00019999999</v>
      </c>
      <c r="F106" s="9">
        <f>B106+C106+D106+E106</f>
        <v/>
      </c>
    </row>
    <row r="107">
      <c r="A107" s="2" t="inlineStr">
        <is>
          <t>Sweaters</t>
        </is>
      </c>
      <c r="B107" s="8" t="n">
        <v>132800</v>
      </c>
      <c r="C107" s="8" t="n">
        <v>91980</v>
      </c>
      <c r="D107" s="8" t="n">
        <v>79000</v>
      </c>
      <c r="E107" s="8" t="n"/>
      <c r="F107" s="9">
        <f>B107+C107+D107+E107</f>
        <v/>
      </c>
    </row>
    <row r="108">
      <c r="A108" s="5" t="inlineStr">
        <is>
          <t>Totals</t>
        </is>
      </c>
      <c r="B108" s="9">
        <f>SUM($B$84:$B$107)</f>
        <v/>
      </c>
      <c r="C108" s="9">
        <f>SUM($C$84:$C$107)</f>
        <v/>
      </c>
      <c r="D108" s="9">
        <f>SUM($D$84:$D$107)</f>
        <v/>
      </c>
      <c r="E108" s="9">
        <f>SUM($E$84:$E$107)</f>
        <v/>
      </c>
      <c r="F108" s="9">
        <f>SUM($F$84:$F$107)</f>
        <v/>
      </c>
    </row>
    <row r="111">
      <c r="A111" s="1" t="inlineStr">
        <is>
          <t>YoY Sales Amount Comparison - Branch Group 1</t>
        </is>
      </c>
    </row>
    <row r="112">
      <c r="B112" s="1" t="inlineStr">
        <is>
          <t>LIBERT.R</t>
        </is>
      </c>
      <c r="C112" s="1" t="n"/>
      <c r="D112" s="1" t="n"/>
      <c r="E112" s="1" t="inlineStr">
        <is>
          <t>PASO.R</t>
        </is>
      </c>
      <c r="F112" s="1" t="n"/>
      <c r="G112" s="1" t="n"/>
      <c r="H112" s="1" t="inlineStr">
        <is>
          <t>P.OESTE</t>
        </is>
      </c>
      <c r="I112" s="1" t="n"/>
      <c r="J112" s="1" t="n"/>
      <c r="K112" s="1" t="inlineStr">
        <is>
          <t>Global</t>
        </is>
      </c>
      <c r="L112" s="1" t="n"/>
      <c r="M112" s="1" t="n"/>
    </row>
    <row r="113">
      <c r="A113" s="1" t="inlineStr">
        <is>
          <t>Familias</t>
        </is>
      </c>
      <c r="B113" s="1" t="n">
        <v>2025</v>
      </c>
      <c r="C113" s="1" t="n">
        <v>2026</v>
      </c>
      <c r="D113" s="1" t="inlineStr">
        <is>
          <t>%</t>
        </is>
      </c>
      <c r="E113" s="1" t="n">
        <v>2025</v>
      </c>
      <c r="F113" s="1" t="n">
        <v>2026</v>
      </c>
      <c r="G113" s="1" t="inlineStr">
        <is>
          <t>%</t>
        </is>
      </c>
      <c r="H113" s="1" t="n">
        <v>2025</v>
      </c>
      <c r="I113" s="1" t="n">
        <v>2026</v>
      </c>
      <c r="J113" s="1" t="inlineStr">
        <is>
          <t>%</t>
        </is>
      </c>
      <c r="K113" s="1" t="n">
        <v>2025</v>
      </c>
      <c r="L113" s="1" t="n">
        <v>2026</v>
      </c>
      <c r="M113" s="1" t="inlineStr">
        <is>
          <t>%</t>
        </is>
      </c>
    </row>
    <row r="114">
      <c r="A114" s="2" t="inlineStr">
        <is>
          <t>Accesorios</t>
        </is>
      </c>
      <c r="B114" s="8" t="n">
        <v>87750</v>
      </c>
      <c r="C114" s="8" t="n">
        <v>68900</v>
      </c>
      <c r="D114" s="6">
        <f>IF(B114=0, "N/A", (C114-B114)/B114)</f>
        <v/>
      </c>
      <c r="E114" s="8" t="n">
        <v>18000</v>
      </c>
      <c r="F114" s="8" t="n">
        <v>231231.6664</v>
      </c>
      <c r="G114" s="6">
        <f>IF(E114=0, "N/A", (F114-E114)/E114)</f>
        <v/>
      </c>
      <c r="H114" s="8" t="n">
        <v>535509.352</v>
      </c>
      <c r="I114" s="8" t="n">
        <v>727780.0012000001</v>
      </c>
      <c r="J114" s="6">
        <f>IF(H114=0, "N/A", (I114-H114)/H114)</f>
        <v/>
      </c>
      <c r="K114" s="8">
        <f>B114+E114+H114</f>
        <v/>
      </c>
      <c r="L114" s="8">
        <f>C114+F114+I114</f>
        <v/>
      </c>
      <c r="M114" s="6">
        <f>IF(K114=0, "N/A", (L114-K114)/K114)</f>
        <v/>
      </c>
    </row>
    <row r="115">
      <c r="A115" s="2" t="inlineStr">
        <is>
          <t>Bermudas</t>
        </is>
      </c>
      <c r="B115" s="8" t="n"/>
      <c r="C115" s="8" t="n"/>
      <c r="D115" s="6">
        <f>IF(B115=0, "N/A", (C115-B115)/B115)</f>
        <v/>
      </c>
      <c r="E115" s="8" t="n"/>
      <c r="F115" s="8" t="n">
        <v>59800</v>
      </c>
      <c r="G115" s="6">
        <f>IF(E115=0, "N/A", (F115-E115)/E115)</f>
        <v/>
      </c>
      <c r="H115" s="8" t="n"/>
      <c r="I115" s="8" t="n"/>
      <c r="J115" s="6">
        <f>IF(H115=0, "N/A", (I115-H115)/H115)</f>
        <v/>
      </c>
      <c r="K115" s="8">
        <f>B115+E115+H115</f>
        <v/>
      </c>
      <c r="L115" s="8">
        <f>C115+F115+I115</f>
        <v/>
      </c>
      <c r="M115" s="6">
        <f>IF(K115=0, "N/A", (L115-K115)/K115)</f>
        <v/>
      </c>
    </row>
    <row r="116">
      <c r="A116" s="2" t="inlineStr">
        <is>
          <t>Boxer</t>
        </is>
      </c>
      <c r="B116" s="8" t="n">
        <v>55000</v>
      </c>
      <c r="C116" s="8" t="n">
        <v>71537.9969</v>
      </c>
      <c r="D116" s="6">
        <f>IF(B116=0, "N/A", (C116-B116)/B116)</f>
        <v/>
      </c>
      <c r="E116" s="8" t="n"/>
      <c r="F116" s="8" t="n">
        <v>44700</v>
      </c>
      <c r="G116" s="6">
        <f>IF(E116=0, "N/A", (F116-E116)/E116)</f>
        <v/>
      </c>
      <c r="H116" s="8" t="n">
        <v>251000</v>
      </c>
      <c r="I116" s="8" t="n">
        <v>283100</v>
      </c>
      <c r="J116" s="6">
        <f>IF(H116=0, "N/A", (I116-H116)/H116)</f>
        <v/>
      </c>
      <c r="K116" s="8">
        <f>B116+E116+H116</f>
        <v/>
      </c>
      <c r="L116" s="8">
        <f>C116+F116+I116</f>
        <v/>
      </c>
      <c r="M116" s="6">
        <f>IF(K116=0, "N/A", (L116-K116)/K116)</f>
        <v/>
      </c>
    </row>
    <row r="117">
      <c r="A117" s="2" t="inlineStr">
        <is>
          <t>Buzo C Capucha Rustico</t>
        </is>
      </c>
      <c r="B117" s="8" t="n"/>
      <c r="C117" s="8" t="n"/>
      <c r="D117" s="6">
        <f>IF(B117=0, "N/A", (C117-B117)/B117)</f>
        <v/>
      </c>
      <c r="E117" s="8" t="n"/>
      <c r="F117" s="8" t="n"/>
      <c r="G117" s="6">
        <f>IF(E117=0, "N/A", (F117-E117)/E117)</f>
        <v/>
      </c>
      <c r="H117" s="8" t="n"/>
      <c r="I117" s="8" t="n">
        <v>129800</v>
      </c>
      <c r="J117" s="6">
        <f>IF(H117=0, "N/A", (I117-H117)/H117)</f>
        <v/>
      </c>
      <c r="K117" s="8">
        <f>B117+E117+H117</f>
        <v/>
      </c>
      <c r="L117" s="8">
        <f>C117+F117+I117</f>
        <v/>
      </c>
      <c r="M117" s="6">
        <f>IF(K117=0, "N/A", (L117-K117)/K117)</f>
        <v/>
      </c>
    </row>
    <row r="118">
      <c r="A118" s="2" t="inlineStr">
        <is>
          <t>Buzo Cuello Redondo</t>
        </is>
      </c>
      <c r="B118" s="8" t="n">
        <v>435800</v>
      </c>
      <c r="C118" s="8" t="n">
        <v>1069909.8974</v>
      </c>
      <c r="D118" s="6">
        <f>IF(B118=0, "N/A", (C118-B118)/B118)</f>
        <v/>
      </c>
      <c r="E118" s="8" t="n">
        <v>1508623.6957</v>
      </c>
      <c r="F118" s="8" t="n">
        <v>675191.6217</v>
      </c>
      <c r="G118" s="6">
        <f>IF(E118=0, "N/A", (F118-E118)/E118)</f>
        <v/>
      </c>
      <c r="H118" s="8" t="n">
        <v>1975755.5941</v>
      </c>
      <c r="I118" s="8" t="n">
        <v>3653415.5412</v>
      </c>
      <c r="J118" s="6">
        <f>IF(H118=0, "N/A", (I118-H118)/H118)</f>
        <v/>
      </c>
      <c r="K118" s="8">
        <f>B118+E118+H118</f>
        <v/>
      </c>
      <c r="L118" s="8">
        <f>C118+F118+I118</f>
        <v/>
      </c>
      <c r="M118" s="6">
        <f>IF(K118=0, "N/A", (L118-K118)/K118)</f>
        <v/>
      </c>
    </row>
    <row r="119">
      <c r="A119" s="2" t="inlineStr">
        <is>
          <t>Buzos C Capucha</t>
        </is>
      </c>
      <c r="B119" s="8" t="n">
        <v>810608.8548</v>
      </c>
      <c r="C119" s="8" t="n">
        <v>686298.818</v>
      </c>
      <c r="D119" s="6">
        <f>IF(B119=0, "N/A", (C119-B119)/B119)</f>
        <v/>
      </c>
      <c r="E119" s="8" t="n">
        <v>894898.1248</v>
      </c>
      <c r="F119" s="8" t="n">
        <v>394010</v>
      </c>
      <c r="G119" s="6">
        <f>IF(E119=0, "N/A", (F119-E119)/E119)</f>
        <v/>
      </c>
      <c r="H119" s="8" t="n">
        <v>2224648.4533</v>
      </c>
      <c r="I119" s="8" t="n">
        <v>1508010</v>
      </c>
      <c r="J119" s="6">
        <f>IF(H119=0, "N/A", (I119-H119)/H119)</f>
        <v/>
      </c>
      <c r="K119" s="8">
        <f>B119+E119+H119</f>
        <v/>
      </c>
      <c r="L119" s="8">
        <f>C119+F119+I119</f>
        <v/>
      </c>
      <c r="M119" s="6">
        <f>IF(K119=0, "N/A", (L119-K119)/K119)</f>
        <v/>
      </c>
    </row>
    <row r="120">
      <c r="A120" s="2" t="inlineStr">
        <is>
          <t>Buzos C Capucha Orangutan</t>
        </is>
      </c>
      <c r="B120" s="8" t="n"/>
      <c r="C120" s="8" t="n">
        <v>100530.0681</v>
      </c>
      <c r="D120" s="6">
        <f>IF(B120=0, "N/A", (C120-B120)/B120)</f>
        <v/>
      </c>
      <c r="E120" s="8" t="n"/>
      <c r="F120" s="8" t="n">
        <v>156224.2602</v>
      </c>
      <c r="G120" s="6">
        <f>IF(E120=0, "N/A", (F120-E120)/E120)</f>
        <v/>
      </c>
      <c r="H120" s="8" t="n"/>
      <c r="I120" s="8" t="n">
        <v>1639729</v>
      </c>
      <c r="J120" s="6">
        <f>IF(H120=0, "N/A", (I120-H120)/H120)</f>
        <v/>
      </c>
      <c r="K120" s="8">
        <f>B120+E120+H120</f>
        <v/>
      </c>
      <c r="L120" s="8">
        <f>C120+F120+I120</f>
        <v/>
      </c>
      <c r="M120" s="6">
        <f>IF(K120=0, "N/A", (L120-K120)/K120)</f>
        <v/>
      </c>
    </row>
    <row r="121">
      <c r="A121" s="2" t="inlineStr">
        <is>
          <t>Buzos C Redondo Orangutan</t>
        </is>
      </c>
      <c r="B121" s="8" t="n"/>
      <c r="C121" s="8" t="n">
        <v>39900</v>
      </c>
      <c r="D121" s="6">
        <f>IF(B121=0, "N/A", (C121-B121)/B121)</f>
        <v/>
      </c>
      <c r="E121" s="8" t="n"/>
      <c r="F121" s="8" t="n">
        <v>35910</v>
      </c>
      <c r="G121" s="6">
        <f>IF(E121=0, "N/A", (F121-E121)/E121)</f>
        <v/>
      </c>
      <c r="H121" s="8" t="n"/>
      <c r="I121" s="8" t="n">
        <v>119700</v>
      </c>
      <c r="J121" s="6">
        <f>IF(H121=0, "N/A", (I121-H121)/H121)</f>
        <v/>
      </c>
      <c r="K121" s="8">
        <f>B121+E121+H121</f>
        <v/>
      </c>
      <c r="L121" s="8">
        <f>C121+F121+I121</f>
        <v/>
      </c>
      <c r="M121" s="6">
        <f>IF(K121=0, "N/A", (L121-K121)/K121)</f>
        <v/>
      </c>
    </row>
    <row r="122">
      <c r="A122" s="2" t="inlineStr">
        <is>
          <t>Buzos C Redondo Rustico</t>
        </is>
      </c>
      <c r="B122" s="8" t="n"/>
      <c r="C122" s="8" t="n"/>
      <c r="D122" s="6">
        <f>IF(B122=0, "N/A", (C122-B122)/B122)</f>
        <v/>
      </c>
      <c r="E122" s="8" t="n"/>
      <c r="F122" s="8" t="n"/>
      <c r="G122" s="6">
        <f>IF(E122=0, "N/A", (F122-E122)/E122)</f>
        <v/>
      </c>
      <c r="H122" s="8" t="n"/>
      <c r="I122" s="8" t="n">
        <v>223600</v>
      </c>
      <c r="J122" s="6">
        <f>IF(H122=0, "N/A", (I122-H122)/H122)</f>
        <v/>
      </c>
      <c r="K122" s="8">
        <f>B122+E122+H122</f>
        <v/>
      </c>
      <c r="L122" s="8">
        <f>C122+F122+I122</f>
        <v/>
      </c>
      <c r="M122" s="6">
        <f>IF(K122=0, "N/A", (L122-K122)/K122)</f>
        <v/>
      </c>
    </row>
    <row r="123">
      <c r="A123" s="2" t="inlineStr">
        <is>
          <t>Buzos Medio Cierre</t>
        </is>
      </c>
      <c r="B123" s="8" t="n"/>
      <c r="C123" s="8" t="n"/>
      <c r="D123" s="6">
        <f>IF(B123=0, "N/A", (C123-B123)/B123)</f>
        <v/>
      </c>
      <c r="E123" s="8" t="n">
        <v>77800</v>
      </c>
      <c r="F123" s="8" t="n"/>
      <c r="G123" s="6">
        <f>IF(E123=0, "N/A", (F123-E123)/E123)</f>
        <v/>
      </c>
      <c r="H123" s="8" t="n">
        <v>-75280</v>
      </c>
      <c r="I123" s="8" t="n">
        <v>49000</v>
      </c>
      <c r="J123" s="6">
        <f>IF(H123=0, "N/A", (I123-H123)/H123)</f>
        <v/>
      </c>
      <c r="K123" s="8">
        <f>B123+E123+H123</f>
        <v/>
      </c>
      <c r="L123" s="8">
        <f>C123+F123+I123</f>
        <v/>
      </c>
      <c r="M123" s="6">
        <f>IF(K123=0, "N/A", (L123-K123)/K123)</f>
        <v/>
      </c>
    </row>
    <row r="124">
      <c r="A124" s="2" t="inlineStr">
        <is>
          <t>Calzado</t>
        </is>
      </c>
      <c r="B124" s="8" t="n"/>
      <c r="C124" s="8" t="n"/>
      <c r="D124" s="6">
        <f>IF(B124=0, "N/A", (C124-B124)/B124)</f>
        <v/>
      </c>
      <c r="E124" s="8" t="n"/>
      <c r="F124" s="8" t="n"/>
      <c r="G124" s="6">
        <f>IF(E124=0, "N/A", (F124-E124)/E124)</f>
        <v/>
      </c>
      <c r="H124" s="8" t="n"/>
      <c r="I124" s="8" t="n">
        <v>39000</v>
      </c>
      <c r="J124" s="6">
        <f>IF(H124=0, "N/A", (I124-H124)/H124)</f>
        <v/>
      </c>
      <c r="K124" s="8">
        <f>B124+E124+H124</f>
        <v/>
      </c>
      <c r="L124" s="8">
        <f>C124+F124+I124</f>
        <v/>
      </c>
      <c r="M124" s="6">
        <f>IF(K124=0, "N/A", (L124-K124)/K124)</f>
        <v/>
      </c>
    </row>
    <row r="125">
      <c r="A125" s="2" t="inlineStr">
        <is>
          <t>Camisas</t>
        </is>
      </c>
      <c r="B125" s="8" t="n">
        <v>166050</v>
      </c>
      <c r="C125" s="8" t="n">
        <v>204000</v>
      </c>
      <c r="D125" s="6">
        <f>IF(B125=0, "N/A", (C125-B125)/B125)</f>
        <v/>
      </c>
      <c r="E125" s="8" t="n">
        <v>59900</v>
      </c>
      <c r="F125" s="8" t="n">
        <v>101750</v>
      </c>
      <c r="G125" s="6">
        <f>IF(E125=0, "N/A", (F125-E125)/E125)</f>
        <v/>
      </c>
      <c r="H125" s="8" t="n">
        <v>619296.6097</v>
      </c>
      <c r="I125" s="8" t="n"/>
      <c r="J125" s="6">
        <f>IF(H125=0, "N/A", (I125-H125)/H125)</f>
        <v/>
      </c>
      <c r="K125" s="8">
        <f>B125+E125+H125</f>
        <v/>
      </c>
      <c r="L125" s="8">
        <f>C125+F125+I125</f>
        <v/>
      </c>
      <c r="M125" s="6">
        <f>IF(K125=0, "N/A", (L125-K125)/K125)</f>
        <v/>
      </c>
    </row>
    <row r="126">
      <c r="A126" s="2" t="inlineStr">
        <is>
          <t>Camisetas Manga Larga</t>
        </is>
      </c>
      <c r="B126" s="8" t="n">
        <v>222010</v>
      </c>
      <c r="C126" s="8" t="n">
        <v>243100</v>
      </c>
      <c r="D126" s="6">
        <f>IF(B126=0, "N/A", (C126-B126)/B126)</f>
        <v/>
      </c>
      <c r="E126" s="8" t="n">
        <v>79742.6686</v>
      </c>
      <c r="F126" s="8" t="n">
        <v>322686.7454</v>
      </c>
      <c r="G126" s="6">
        <f>IF(E126=0, "N/A", (F126-E126)/E126)</f>
        <v/>
      </c>
      <c r="H126" s="8" t="n">
        <v>258645.9664</v>
      </c>
      <c r="I126" s="8" t="n">
        <v>73900</v>
      </c>
      <c r="J126" s="6">
        <f>IF(H126=0, "N/A", (I126-H126)/H126)</f>
        <v/>
      </c>
      <c r="K126" s="8">
        <f>B126+E126+H126</f>
        <v/>
      </c>
      <c r="L126" s="8">
        <f>C126+F126+I126</f>
        <v/>
      </c>
      <c r="M126" s="6">
        <f>IF(K126=0, "N/A", (L126-K126)/K126)</f>
        <v/>
      </c>
    </row>
    <row r="127">
      <c r="A127" s="2" t="inlineStr">
        <is>
          <t>Camisetas Manga Larga Orangutan</t>
        </is>
      </c>
      <c r="B127" s="8" t="n"/>
      <c r="C127" s="8" t="n">
        <v>51800</v>
      </c>
      <c r="D127" s="6">
        <f>IF(B127=0, "N/A", (C127-B127)/B127)</f>
        <v/>
      </c>
      <c r="E127" s="8" t="n"/>
      <c r="F127" s="8" t="n">
        <v>50587.86990000001</v>
      </c>
      <c r="G127" s="6">
        <f>IF(E127=0, "N/A", (F127-E127)/E127)</f>
        <v/>
      </c>
      <c r="H127" s="8" t="n"/>
      <c r="I127" s="8" t="n">
        <v>330706.4352</v>
      </c>
      <c r="J127" s="6">
        <f>IF(H127=0, "N/A", (I127-H127)/H127)</f>
        <v/>
      </c>
      <c r="K127" s="8">
        <f>B127+E127+H127</f>
        <v/>
      </c>
      <c r="L127" s="8">
        <f>C127+F127+I127</f>
        <v/>
      </c>
      <c r="M127" s="6">
        <f>IF(K127=0, "N/A", (L127-K127)/K127)</f>
        <v/>
      </c>
    </row>
    <row r="128">
      <c r="A128" s="2" t="inlineStr">
        <is>
          <t>Campera S Capucha</t>
        </is>
      </c>
      <c r="B128" s="8" t="n">
        <v>209400</v>
      </c>
      <c r="C128" s="8" t="n">
        <v>79000</v>
      </c>
      <c r="D128" s="6">
        <f>IF(B128=0, "N/A", (C128-B128)/B128)</f>
        <v/>
      </c>
      <c r="E128" s="8" t="n">
        <v>39900</v>
      </c>
      <c r="F128" s="8" t="n"/>
      <c r="G128" s="6">
        <f>IF(E128=0, "N/A", (F128-E128)/E128)</f>
        <v/>
      </c>
      <c r="H128" s="8" t="n">
        <v>608202.357</v>
      </c>
      <c r="I128" s="8" t="n">
        <v>147000</v>
      </c>
      <c r="J128" s="6">
        <f>IF(H128=0, "N/A", (I128-H128)/H128)</f>
        <v/>
      </c>
      <c r="K128" s="8">
        <f>B128+E128+H128</f>
        <v/>
      </c>
      <c r="L128" s="8">
        <f>C128+F128+I128</f>
        <v/>
      </c>
      <c r="M128" s="6">
        <f>IF(K128=0, "N/A", (L128-K128)/K128)</f>
        <v/>
      </c>
    </row>
    <row r="129">
      <c r="A129" s="2" t="inlineStr">
        <is>
          <t>Camperas Capucha</t>
        </is>
      </c>
      <c r="B129" s="8" t="n">
        <v>79800</v>
      </c>
      <c r="C129" s="8" t="n">
        <v>242700</v>
      </c>
      <c r="D129" s="6">
        <f>IF(B129=0, "N/A", (C129-B129)/B129)</f>
        <v/>
      </c>
      <c r="E129" s="8" t="n">
        <v>-38900</v>
      </c>
      <c r="F129" s="8" t="n">
        <v>357777.3243</v>
      </c>
      <c r="G129" s="6">
        <f>IF(E129=0, "N/A", (F129-E129)/E129)</f>
        <v/>
      </c>
      <c r="H129" s="8" t="n">
        <v>876520</v>
      </c>
      <c r="I129" s="8" t="n">
        <v>1818094.4589</v>
      </c>
      <c r="J129" s="6">
        <f>IF(H129=0, "N/A", (I129-H129)/H129)</f>
        <v/>
      </c>
      <c r="K129" s="8">
        <f>B129+E129+H129</f>
        <v/>
      </c>
      <c r="L129" s="8">
        <f>C129+F129+I129</f>
        <v/>
      </c>
      <c r="M129" s="6">
        <f>IF(K129=0, "N/A", (L129-K129)/K129)</f>
        <v/>
      </c>
    </row>
    <row r="130">
      <c r="A130" s="2" t="inlineStr">
        <is>
          <t>Camperas De Abrigo</t>
        </is>
      </c>
      <c r="B130" s="8" t="n">
        <v>724740</v>
      </c>
      <c r="C130" s="8" t="n">
        <v>119800</v>
      </c>
      <c r="D130" s="6">
        <f>IF(B130=0, "N/A", (C130-B130)/B130)</f>
        <v/>
      </c>
      <c r="E130" s="8" t="n">
        <v>279600</v>
      </c>
      <c r="F130" s="8" t="n"/>
      <c r="G130" s="6">
        <f>IF(E130=0, "N/A", (F130-E130)/E130)</f>
        <v/>
      </c>
      <c r="H130" s="8" t="n">
        <v>746800</v>
      </c>
      <c r="I130" s="8" t="n">
        <v>631200</v>
      </c>
      <c r="J130" s="6">
        <f>IF(H130=0, "N/A", (I130-H130)/H130)</f>
        <v/>
      </c>
      <c r="K130" s="8">
        <f>B130+E130+H130</f>
        <v/>
      </c>
      <c r="L130" s="8">
        <f>C130+F130+I130</f>
        <v/>
      </c>
      <c r="M130" s="6">
        <f>IF(K130=0, "N/A", (L130-K130)/K130)</f>
        <v/>
      </c>
    </row>
    <row r="131">
      <c r="A131" s="2" t="inlineStr">
        <is>
          <t>Chombas</t>
        </is>
      </c>
      <c r="B131" s="8" t="n">
        <v>306929.9116</v>
      </c>
      <c r="C131" s="8" t="n">
        <v>114350</v>
      </c>
      <c r="D131" s="6">
        <f>IF(B131=0, "N/A", (C131-B131)/B131)</f>
        <v/>
      </c>
      <c r="E131" s="8" t="n">
        <v>298900</v>
      </c>
      <c r="F131" s="8" t="n">
        <v>21900</v>
      </c>
      <c r="G131" s="6">
        <f>IF(E131=0, "N/A", (F131-E131)/E131)</f>
        <v/>
      </c>
      <c r="H131" s="8" t="n">
        <v>130800</v>
      </c>
      <c r="I131" s="8" t="n">
        <v>87210</v>
      </c>
      <c r="J131" s="6">
        <f>IF(H131=0, "N/A", (I131-H131)/H131)</f>
        <v/>
      </c>
      <c r="K131" s="8">
        <f>B131+E131+H131</f>
        <v/>
      </c>
      <c r="L131" s="8">
        <f>C131+F131+I131</f>
        <v/>
      </c>
      <c r="M131" s="6">
        <f>IF(K131=0, "N/A", (L131-K131)/K131)</f>
        <v/>
      </c>
    </row>
    <row r="132">
      <c r="A132" s="2" t="inlineStr">
        <is>
          <t>Chombas Manga Larga</t>
        </is>
      </c>
      <c r="B132" s="8" t="n"/>
      <c r="C132" s="8" t="n">
        <v>35900</v>
      </c>
      <c r="D132" s="6">
        <f>IF(B132=0, "N/A", (C132-B132)/B132)</f>
        <v/>
      </c>
      <c r="E132" s="8" t="n"/>
      <c r="F132" s="8" t="n">
        <v>107700</v>
      </c>
      <c r="G132" s="6">
        <f>IF(E132=0, "N/A", (F132-E132)/E132)</f>
        <v/>
      </c>
      <c r="H132" s="8" t="n"/>
      <c r="I132" s="8" t="n"/>
      <c r="J132" s="6">
        <f>IF(H132=0, "N/A", (I132-H132)/H132)</f>
        <v/>
      </c>
      <c r="K132" s="8">
        <f>B132+E132+H132</f>
        <v/>
      </c>
      <c r="L132" s="8">
        <f>C132+F132+I132</f>
        <v/>
      </c>
      <c r="M132" s="6">
        <f>IF(K132=0, "N/A", (L132-K132)/K132)</f>
        <v/>
      </c>
    </row>
    <row r="133">
      <c r="A133" s="2" t="inlineStr">
        <is>
          <t>Jeans</t>
        </is>
      </c>
      <c r="B133" s="8" t="n">
        <v>1861652.3996</v>
      </c>
      <c r="C133" s="8" t="n">
        <v>1160072.0382</v>
      </c>
      <c r="D133" s="6">
        <f>IF(B133=0, "N/A", (C133-B133)/B133)</f>
        <v/>
      </c>
      <c r="E133" s="8" t="n">
        <v>664657.3393999999</v>
      </c>
      <c r="F133" s="8" t="n">
        <v>1248229.9203</v>
      </c>
      <c r="G133" s="6">
        <f>IF(E133=0, "N/A", (F133-E133)/E133)</f>
        <v/>
      </c>
      <c r="H133" s="8" t="n">
        <v>6401548.4722</v>
      </c>
      <c r="I133" s="8" t="n">
        <v>10077844.5648</v>
      </c>
      <c r="J133" s="6">
        <f>IF(H133=0, "N/A", (I133-H133)/H133)</f>
        <v/>
      </c>
      <c r="K133" s="8">
        <f>B133+E133+H133</f>
        <v/>
      </c>
      <c r="L133" s="8">
        <f>C133+F133+I133</f>
        <v/>
      </c>
      <c r="M133" s="6">
        <f>IF(K133=0, "N/A", (L133-K133)/K133)</f>
        <v/>
      </c>
    </row>
    <row r="134">
      <c r="A134" s="2" t="inlineStr">
        <is>
          <t>Jogging</t>
        </is>
      </c>
      <c r="B134" s="8" t="n">
        <v>88500</v>
      </c>
      <c r="C134" s="8" t="n"/>
      <c r="D134" s="6">
        <f>IF(B134=0, "N/A", (C134-B134)/B134)</f>
        <v/>
      </c>
      <c r="E134" s="8" t="n">
        <v>91986.2179</v>
      </c>
      <c r="F134" s="8" t="n">
        <v>99500</v>
      </c>
      <c r="G134" s="6">
        <f>IF(E134=0, "N/A", (F134-E134)/E134)</f>
        <v/>
      </c>
      <c r="H134" s="8" t="n">
        <v>133440</v>
      </c>
      <c r="I134" s="8" t="n">
        <v>340150.0015</v>
      </c>
      <c r="J134" s="6">
        <f>IF(H134=0, "N/A", (I134-H134)/H134)</f>
        <v/>
      </c>
      <c r="K134" s="8">
        <f>B134+E134+H134</f>
        <v/>
      </c>
      <c r="L134" s="8">
        <f>C134+F134+I134</f>
        <v/>
      </c>
      <c r="M134" s="6">
        <f>IF(K134=0, "N/A", (L134-K134)/K134)</f>
        <v/>
      </c>
    </row>
    <row r="135">
      <c r="A135" s="2" t="inlineStr">
        <is>
          <t>Otro</t>
        </is>
      </c>
      <c r="B135" s="8" t="n">
        <v>11000</v>
      </c>
      <c r="C135" s="8" t="n"/>
      <c r="D135" s="6">
        <f>IF(B135=0, "N/A", (C135-B135)/B135)</f>
        <v/>
      </c>
      <c r="E135" s="8" t="n">
        <v>11000</v>
      </c>
      <c r="F135" s="8" t="n"/>
      <c r="G135" s="6">
        <f>IF(E135=0, "N/A", (F135-E135)/E135)</f>
        <v/>
      </c>
      <c r="H135" s="8" t="n"/>
      <c r="I135" s="8" t="n"/>
      <c r="J135" s="6">
        <f>IF(H135=0, "N/A", (I135-H135)/H135)</f>
        <v/>
      </c>
      <c r="K135" s="8">
        <f>B135+E135+H135</f>
        <v/>
      </c>
      <c r="L135" s="8">
        <f>C135+F135+I135</f>
        <v/>
      </c>
      <c r="M135" s="6">
        <f>IF(K135=0, "N/A", (L135-K135)/K135)</f>
        <v/>
      </c>
    </row>
    <row r="136">
      <c r="A136" s="2" t="inlineStr">
        <is>
          <t>Remeras</t>
        </is>
      </c>
      <c r="B136" s="8" t="n">
        <v>639866.334</v>
      </c>
      <c r="C136" s="8" t="n">
        <v>235821.1814</v>
      </c>
      <c r="D136" s="6">
        <f>IF(B136=0, "N/A", (C136-B136)/B136)</f>
        <v/>
      </c>
      <c r="E136" s="8" t="n">
        <v>701041.9536</v>
      </c>
      <c r="F136" s="8" t="n">
        <v>1262224.5918</v>
      </c>
      <c r="G136" s="6">
        <f>IF(E136=0, "N/A", (F136-E136)/E136)</f>
        <v/>
      </c>
      <c r="H136" s="8" t="n">
        <v>3989267.1953</v>
      </c>
      <c r="I136" s="8" t="n">
        <v>3595324.9972</v>
      </c>
      <c r="J136" s="6">
        <f>IF(H136=0, "N/A", (I136-H136)/H136)</f>
        <v/>
      </c>
      <c r="K136" s="8">
        <f>B136+E136+H136</f>
        <v/>
      </c>
      <c r="L136" s="8">
        <f>C136+F136+I136</f>
        <v/>
      </c>
      <c r="M136" s="6">
        <f>IF(K136=0, "N/A", (L136-K136)/K136)</f>
        <v/>
      </c>
    </row>
    <row r="137">
      <c r="A137" s="2" t="inlineStr">
        <is>
          <t>Sweaters</t>
        </is>
      </c>
      <c r="B137" s="8" t="n">
        <v>256900</v>
      </c>
      <c r="C137" s="8" t="n">
        <v>132800</v>
      </c>
      <c r="D137" s="6">
        <f>IF(B137=0, "N/A", (C137-B137)/B137)</f>
        <v/>
      </c>
      <c r="E137" s="8" t="n">
        <v>414000</v>
      </c>
      <c r="F137" s="8" t="n">
        <v>91980</v>
      </c>
      <c r="G137" s="6">
        <f>IF(E137=0, "N/A", (F137-E137)/E137)</f>
        <v/>
      </c>
      <c r="H137" s="8" t="n">
        <v>934700</v>
      </c>
      <c r="I137" s="8" t="n">
        <v>79000</v>
      </c>
      <c r="J137" s="6">
        <f>IF(H137=0, "N/A", (I137-H137)/H137)</f>
        <v/>
      </c>
      <c r="K137" s="8">
        <f>B137+E137+H137</f>
        <v/>
      </c>
      <c r="L137" s="8">
        <f>C137+F137+I137</f>
        <v/>
      </c>
      <c r="M137" s="6">
        <f>IF(K137=0, "N/A", (L137-K137)/K137)</f>
        <v/>
      </c>
    </row>
    <row r="138">
      <c r="A138" s="2" t="inlineStr">
        <is>
          <t>Trajes De Baño</t>
        </is>
      </c>
      <c r="B138" s="8" t="n">
        <v>37800</v>
      </c>
      <c r="C138" s="8" t="n"/>
      <c r="D138" s="6">
        <f>IF(B138=0, "N/A", (C138-B138)/B138)</f>
        <v/>
      </c>
      <c r="E138" s="8" t="n"/>
      <c r="F138" s="8" t="n"/>
      <c r="G138" s="6">
        <f>IF(E138=0, "N/A", (F138-E138)/E138)</f>
        <v/>
      </c>
      <c r="H138" s="8" t="n"/>
      <c r="I138" s="8" t="n"/>
      <c r="J138" s="6">
        <f>IF(H138=0, "N/A", (I138-H138)/H138)</f>
        <v/>
      </c>
      <c r="K138" s="8">
        <f>B138+E138+H138</f>
        <v/>
      </c>
      <c r="L138" s="8">
        <f>C138+F138+I138</f>
        <v/>
      </c>
      <c r="M138" s="6">
        <f>IF(K138=0, "N/A", (L138-K138)/K138)</f>
        <v/>
      </c>
    </row>
    <row r="139">
      <c r="A139" s="5" t="inlineStr">
        <is>
          <t>Totals</t>
        </is>
      </c>
      <c r="B139" s="9">
        <f>SUM($B114:$B138)</f>
        <v/>
      </c>
      <c r="C139" s="9">
        <f>SUM($C114:$C138)</f>
        <v/>
      </c>
      <c r="D139" s="7">
        <f>IF(B139=0, "N/A", (C139-B139)/B139)</f>
        <v/>
      </c>
      <c r="E139" s="9">
        <f>SUM($E114:$E138)</f>
        <v/>
      </c>
      <c r="F139" s="9">
        <f>SUM($F114:$F138)</f>
        <v/>
      </c>
      <c r="G139" s="7">
        <f>IF(E139=0, "N/A", (F139-E139)/E139)</f>
        <v/>
      </c>
      <c r="H139" s="9">
        <f>SUM($H114:$H138)</f>
        <v/>
      </c>
      <c r="I139" s="9">
        <f>SUM($I114:$I138)</f>
        <v/>
      </c>
      <c r="J139" s="7">
        <f>IF(H139=0, "N/A", (I139-H139)/H139)</f>
        <v/>
      </c>
      <c r="K139" s="9">
        <f>SUM($K114:$K138)</f>
        <v/>
      </c>
      <c r="L139" s="9">
        <f>SUM($L114:$L138)</f>
        <v/>
      </c>
      <c r="M139" s="7">
        <f>IF(K139=0, "N/A", (L139-K139)/K139)</f>
        <v/>
      </c>
    </row>
    <row r="142">
      <c r="A142" s="1" t="inlineStr">
        <is>
          <t>YoY Sales Amount Comparison - Branch Group 2</t>
        </is>
      </c>
    </row>
    <row r="143">
      <c r="B143" s="1" t="inlineStr">
        <is>
          <t>VIRREYES</t>
        </is>
      </c>
      <c r="C143" s="1" t="n"/>
      <c r="D143" s="1" t="n"/>
    </row>
    <row r="144">
      <c r="A144" s="1" t="inlineStr">
        <is>
          <t>Familias</t>
        </is>
      </c>
      <c r="B144" s="1" t="n">
        <v>2025</v>
      </c>
      <c r="C144" s="1" t="n">
        <v>2026</v>
      </c>
      <c r="D144" s="1" t="inlineStr">
        <is>
          <t>%</t>
        </is>
      </c>
    </row>
    <row r="145">
      <c r="A145" s="2" t="inlineStr">
        <is>
          <t>Accesorios</t>
        </is>
      </c>
      <c r="B145" s="8" t="n">
        <v>34420</v>
      </c>
      <c r="C145" s="8" t="n"/>
      <c r="D145" s="6">
        <f>IF(B145=0, "N/A", (C145-B145)/B145)</f>
        <v/>
      </c>
    </row>
    <row r="146">
      <c r="A146" s="2" t="inlineStr">
        <is>
          <t>Boxer</t>
        </is>
      </c>
      <c r="B146" s="8" t="n">
        <v>27000</v>
      </c>
      <c r="C146" s="8" t="n"/>
      <c r="D146" s="6">
        <f>IF(B146=0, "N/A", (C146-B146)/B146)</f>
        <v/>
      </c>
    </row>
    <row r="147">
      <c r="A147" s="2" t="inlineStr">
        <is>
          <t>Buzo Cuello Redondo</t>
        </is>
      </c>
      <c r="B147" s="8" t="n">
        <v>-22500</v>
      </c>
      <c r="C147" s="8" t="n">
        <v>34200</v>
      </c>
      <c r="D147" s="6">
        <f>IF(B147=0, "N/A", (C147-B147)/B147)</f>
        <v/>
      </c>
    </row>
    <row r="148">
      <c r="A148" s="2" t="inlineStr">
        <is>
          <t>Buzos C Capucha</t>
        </is>
      </c>
      <c r="B148" s="8" t="n">
        <v>161500</v>
      </c>
      <c r="C148" s="8" t="n"/>
      <c r="D148" s="6">
        <f>IF(B148=0, "N/A", (C148-B148)/B148)</f>
        <v/>
      </c>
    </row>
    <row r="149">
      <c r="A149" s="2" t="inlineStr">
        <is>
          <t>Buzos C Capucha Orangutan</t>
        </is>
      </c>
      <c r="B149" s="8" t="n"/>
      <c r="C149" s="8" t="n">
        <v>184629.9998</v>
      </c>
      <c r="D149" s="6">
        <f>IF(B149=0, "N/A", (C149-B149)/B149)</f>
        <v/>
      </c>
    </row>
    <row r="150">
      <c r="A150" s="2" t="inlineStr">
        <is>
          <t>Buzos C Redondo Orangutan</t>
        </is>
      </c>
      <c r="B150" s="8" t="n"/>
      <c r="C150" s="8" t="n">
        <v>77800</v>
      </c>
      <c r="D150" s="6">
        <f>IF(B150=0, "N/A", (C150-B150)/B150)</f>
        <v/>
      </c>
    </row>
    <row r="151">
      <c r="A151" s="2" t="inlineStr">
        <is>
          <t>Buzos Medio Cierre</t>
        </is>
      </c>
      <c r="B151" s="8" t="n">
        <v>41000</v>
      </c>
      <c r="C151" s="8" t="n"/>
      <c r="D151" s="6">
        <f>IF(B151=0, "N/A", (C151-B151)/B151)</f>
        <v/>
      </c>
    </row>
    <row r="152">
      <c r="A152" s="2" t="inlineStr">
        <is>
          <t>Camisas</t>
        </is>
      </c>
      <c r="B152" s="8" t="n">
        <v>97580</v>
      </c>
      <c r="C152" s="8" t="n"/>
      <c r="D152" s="6">
        <f>IF(B152=0, "N/A", (C152-B152)/B152)</f>
        <v/>
      </c>
    </row>
    <row r="153">
      <c r="A153" s="2" t="inlineStr">
        <is>
          <t>Camperas Capucha</t>
        </is>
      </c>
      <c r="B153" s="8" t="n">
        <v>57500</v>
      </c>
      <c r="C153" s="8" t="n"/>
      <c r="D153" s="6">
        <f>IF(B153=0, "N/A", (C153-B153)/B153)</f>
        <v/>
      </c>
    </row>
    <row r="154">
      <c r="A154" s="2" t="inlineStr">
        <is>
          <t>Camperas De Abrigo</t>
        </is>
      </c>
      <c r="B154" s="8" t="n"/>
      <c r="C154" s="8" t="n"/>
      <c r="D154" s="6">
        <f>IF(B154=0, "N/A", (C154-B154)/B154)</f>
        <v/>
      </c>
    </row>
    <row r="155">
      <c r="A155" s="2" t="inlineStr">
        <is>
          <t>Detroit</t>
        </is>
      </c>
      <c r="B155" s="8" t="n"/>
      <c r="C155" s="8" t="n">
        <v>31410</v>
      </c>
      <c r="D155" s="6">
        <f>IF(B155=0, "N/A", (C155-B155)/B155)</f>
        <v/>
      </c>
    </row>
    <row r="156">
      <c r="A156" s="2" t="inlineStr">
        <is>
          <t>Jeans</t>
        </is>
      </c>
      <c r="B156" s="8" t="n">
        <v>281290</v>
      </c>
      <c r="C156" s="8" t="n">
        <v>143382</v>
      </c>
      <c r="D156" s="6">
        <f>IF(B156=0, "N/A", (C156-B156)/B156)</f>
        <v/>
      </c>
    </row>
    <row r="157">
      <c r="A157" s="2" t="inlineStr">
        <is>
          <t>Jogging</t>
        </is>
      </c>
      <c r="B157" s="8" t="n">
        <v>44000</v>
      </c>
      <c r="C157" s="8" t="n"/>
      <c r="D157" s="6">
        <f>IF(B157=0, "N/A", (C157-B157)/B157)</f>
        <v/>
      </c>
    </row>
    <row r="158">
      <c r="A158" s="2" t="inlineStr">
        <is>
          <t>Remeras</t>
        </is>
      </c>
      <c r="B158" s="8" t="n">
        <v>331100</v>
      </c>
      <c r="C158" s="8" t="n">
        <v>50310.00019999999</v>
      </c>
      <c r="D158" s="6">
        <f>IF(B158=0, "N/A", (C158-B158)/B158)</f>
        <v/>
      </c>
    </row>
    <row r="159">
      <c r="A159" s="2" t="inlineStr">
        <is>
          <t>Sweaters</t>
        </is>
      </c>
      <c r="B159" s="8" t="n">
        <v>43000</v>
      </c>
      <c r="C159" s="8" t="n"/>
      <c r="D159" s="6">
        <f>IF(B159=0, "N/A", (C159-B159)/B159)</f>
        <v/>
      </c>
    </row>
    <row r="160">
      <c r="A160" s="5" t="inlineStr">
        <is>
          <t>Totals</t>
        </is>
      </c>
      <c r="B160" s="9">
        <f>SUM($B145:$B159)</f>
        <v/>
      </c>
      <c r="C160" s="9">
        <f>SUM($C145:$C159)</f>
        <v/>
      </c>
      <c r="D160" s="7">
        <f>IF(B160=0, "N/A", (C160-B160)/B160)</f>
        <v/>
      </c>
    </row>
  </sheetData>
  <mergeCells count="16">
    <mergeCell ref="B62:C62"/>
    <mergeCell ref="A82:F82"/>
    <mergeCell ref="A61:D61"/>
    <mergeCell ref="B112:C112"/>
    <mergeCell ref="A111:M111"/>
    <mergeCell ref="A1:F1"/>
    <mergeCell ref="H112:I112"/>
    <mergeCell ref="E112:F112"/>
    <mergeCell ref="K112:L112"/>
    <mergeCell ref="A30:M30"/>
    <mergeCell ref="A142:D142"/>
    <mergeCell ref="B31:C31"/>
    <mergeCell ref="H31:I31"/>
    <mergeCell ref="K31:L31"/>
    <mergeCell ref="E31:F31"/>
    <mergeCell ref="B143:C1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Units Sold from January 01, 2026 to August 12, 2026</t>
        </is>
      </c>
    </row>
    <row r="2">
      <c r="A2" s="1" t="inlineStr">
        <is>
          <t>Familias</t>
        </is>
      </c>
      <c r="B2" s="1" t="inlineStr">
        <is>
          <t>LIBERT.R</t>
        </is>
      </c>
      <c r="C2" s="1" t="inlineStr">
        <is>
          <t>PASO.R</t>
        </is>
      </c>
      <c r="D2" s="1" t="inlineStr">
        <is>
          <t>P.OESTE</t>
        </is>
      </c>
      <c r="E2" s="1" t="inlineStr">
        <is>
          <t>VIRREYES</t>
        </is>
      </c>
      <c r="F2" s="1" t="inlineStr">
        <is>
          <t>Totals</t>
        </is>
      </c>
    </row>
    <row r="3">
      <c r="A3" s="2" t="inlineStr">
        <is>
          <t>Accesorios</t>
        </is>
      </c>
      <c r="B3" s="3" t="n">
        <v>165</v>
      </c>
      <c r="C3" s="3" t="n">
        <v>248</v>
      </c>
      <c r="D3" s="3" t="n">
        <v>466</v>
      </c>
      <c r="E3" s="3" t="n">
        <v>12</v>
      </c>
      <c r="F3" s="4">
        <f>B3+C3+D3+E3</f>
        <v/>
      </c>
    </row>
    <row r="4">
      <c r="A4" s="2" t="inlineStr">
        <is>
          <t>Bermudas</t>
        </is>
      </c>
      <c r="B4" s="3" t="n">
        <v>46</v>
      </c>
      <c r="C4" s="3" t="n">
        <v>101</v>
      </c>
      <c r="D4" s="3" t="n">
        <v>250</v>
      </c>
      <c r="E4" s="3" t="n">
        <v>17</v>
      </c>
      <c r="F4" s="4">
        <f>B4+C4+D4+E4</f>
        <v/>
      </c>
    </row>
    <row r="5">
      <c r="A5" s="2" t="inlineStr">
        <is>
          <t>Boxer</t>
        </is>
      </c>
      <c r="B5" s="3" t="n">
        <v>88</v>
      </c>
      <c r="C5" s="3" t="n">
        <v>141</v>
      </c>
      <c r="D5" s="3" t="n">
        <v>615</v>
      </c>
      <c r="E5" s="3" t="n">
        <v>20</v>
      </c>
      <c r="F5" s="4">
        <f>B5+C5+D5+E5</f>
        <v/>
      </c>
    </row>
    <row r="6">
      <c r="A6" s="2" t="inlineStr">
        <is>
          <t>Buzo C Capucha Rustico</t>
        </is>
      </c>
      <c r="B6" s="3" t="n"/>
      <c r="C6" s="3" t="n"/>
      <c r="D6" s="3" t="n">
        <v>16</v>
      </c>
      <c r="E6" s="3" t="n"/>
      <c r="F6" s="4">
        <f>B6+C6+D6+E6</f>
        <v/>
      </c>
    </row>
    <row r="7">
      <c r="A7" s="2" t="inlineStr">
        <is>
          <t>Buzo Cuello Redondo</t>
        </is>
      </c>
      <c r="B7" s="3" t="n">
        <v>222</v>
      </c>
      <c r="C7" s="3" t="n">
        <v>359</v>
      </c>
      <c r="D7" s="3" t="n">
        <v>1117</v>
      </c>
      <c r="E7" s="3" t="n">
        <v>13</v>
      </c>
      <c r="F7" s="4">
        <f>B7+C7+D7+E7</f>
        <v/>
      </c>
    </row>
    <row r="8">
      <c r="A8" s="2" t="inlineStr">
        <is>
          <t>Buzos C Capucha</t>
        </is>
      </c>
      <c r="B8" s="3" t="n">
        <v>206</v>
      </c>
      <c r="C8" s="3" t="n">
        <v>227</v>
      </c>
      <c r="D8" s="3" t="n">
        <v>682</v>
      </c>
      <c r="E8" s="3" t="n">
        <v>33</v>
      </c>
      <c r="F8" s="4">
        <f>B8+C8+D8+E8</f>
        <v/>
      </c>
    </row>
    <row r="9">
      <c r="A9" s="2" t="inlineStr">
        <is>
          <t>Buzos C Capucha Orangutan</t>
        </is>
      </c>
      <c r="B9" s="3" t="n">
        <v>46</v>
      </c>
      <c r="C9" s="3" t="n">
        <v>64</v>
      </c>
      <c r="D9" s="3" t="n">
        <v>250</v>
      </c>
      <c r="E9" s="3" t="n">
        <v>29</v>
      </c>
      <c r="F9" s="4">
        <f>B9+C9+D9+E9</f>
        <v/>
      </c>
    </row>
    <row r="10">
      <c r="A10" s="2" t="inlineStr">
        <is>
          <t>Buzos C Redondo Orangutan</t>
        </is>
      </c>
      <c r="B10" s="3" t="n">
        <v>60</v>
      </c>
      <c r="C10" s="3" t="n">
        <v>80</v>
      </c>
      <c r="D10" s="3" t="n">
        <v>241</v>
      </c>
      <c r="E10" s="3" t="n">
        <v>15</v>
      </c>
      <c r="F10" s="4">
        <f>B10+C10+D10+E10</f>
        <v/>
      </c>
    </row>
    <row r="11">
      <c r="A11" s="2" t="inlineStr">
        <is>
          <t>Buzos C Redondo Rustico</t>
        </is>
      </c>
      <c r="B11" s="3" t="n"/>
      <c r="C11" s="3" t="n"/>
      <c r="D11" s="3" t="n">
        <v>3</v>
      </c>
      <c r="E11" s="3" t="n"/>
      <c r="F11" s="4">
        <f>B11+C11+D11+E11</f>
        <v/>
      </c>
    </row>
    <row r="12">
      <c r="A12" s="2" t="inlineStr">
        <is>
          <t>Buzos Medio Cierre</t>
        </is>
      </c>
      <c r="B12" s="3" t="n">
        <v>70</v>
      </c>
      <c r="C12" s="3" t="n">
        <v>68</v>
      </c>
      <c r="D12" s="3" t="n">
        <v>229</v>
      </c>
      <c r="E12" s="3" t="n"/>
      <c r="F12" s="4">
        <f>B12+C12+D12+E12</f>
        <v/>
      </c>
    </row>
    <row r="13">
      <c r="A13" s="2" t="inlineStr">
        <is>
          <t>Calzado</t>
        </is>
      </c>
      <c r="B13" s="3" t="n">
        <v>15</v>
      </c>
      <c r="C13" s="3" t="n">
        <v>13</v>
      </c>
      <c r="D13" s="3" t="n">
        <v>14</v>
      </c>
      <c r="E13" s="3" t="n">
        <v>2</v>
      </c>
      <c r="F13" s="4">
        <f>B13+C13+D13+E13</f>
        <v/>
      </c>
    </row>
    <row r="14">
      <c r="A14" s="2" t="inlineStr">
        <is>
          <t>Camisas</t>
        </is>
      </c>
      <c r="B14" s="3" t="n">
        <v>32</v>
      </c>
      <c r="C14" s="3" t="n">
        <v>32</v>
      </c>
      <c r="D14" s="3" t="n">
        <v>62</v>
      </c>
      <c r="E14" s="3" t="n"/>
      <c r="F14" s="4">
        <f>B14+C14+D14+E14</f>
        <v/>
      </c>
    </row>
    <row r="15">
      <c r="A15" s="2" t="inlineStr">
        <is>
          <t>Camisetas Manga Larga</t>
        </is>
      </c>
      <c r="B15" s="3" t="n">
        <v>215</v>
      </c>
      <c r="C15" s="3" t="n">
        <v>315</v>
      </c>
      <c r="D15" s="3" t="n">
        <v>372</v>
      </c>
      <c r="E15" s="3" t="n"/>
      <c r="F15" s="4">
        <f>B15+C15+D15+E15</f>
        <v/>
      </c>
    </row>
    <row r="16">
      <c r="A16" s="2" t="inlineStr">
        <is>
          <t>Camisetas Manga Larga Orangutan</t>
        </is>
      </c>
      <c r="B16" s="3" t="n">
        <v>26</v>
      </c>
      <c r="C16" s="3" t="n">
        <v>37</v>
      </c>
      <c r="D16" s="3" t="n">
        <v>289</v>
      </c>
      <c r="E16" s="3" t="n">
        <v>9</v>
      </c>
      <c r="F16" s="4">
        <f>B16+C16+D16+E16</f>
        <v/>
      </c>
    </row>
    <row r="17">
      <c r="A17" s="2" t="inlineStr">
        <is>
          <t>Campera Capucha Rustico</t>
        </is>
      </c>
      <c r="B17" s="3" t="n"/>
      <c r="C17" s="3" t="n"/>
      <c r="D17" s="3" t="n">
        <v>5</v>
      </c>
      <c r="E17" s="3" t="n"/>
      <c r="F17" s="4">
        <f>B17+C17+D17+E17</f>
        <v/>
      </c>
    </row>
    <row r="18">
      <c r="A18" s="2" t="inlineStr">
        <is>
          <t>Campera S Capucha</t>
        </is>
      </c>
      <c r="B18" s="3" t="n">
        <v>12</v>
      </c>
      <c r="C18" s="3" t="n">
        <v>17</v>
      </c>
      <c r="D18" s="3" t="n">
        <v>120</v>
      </c>
      <c r="E18" s="3" t="n">
        <v>1</v>
      </c>
      <c r="F18" s="4">
        <f>B18+C18+D18+E18</f>
        <v/>
      </c>
    </row>
    <row r="19">
      <c r="A19" s="2" t="inlineStr">
        <is>
          <t>Camperas Capucha</t>
        </is>
      </c>
      <c r="B19" s="3" t="n">
        <v>159</v>
      </c>
      <c r="C19" s="3" t="n">
        <v>195</v>
      </c>
      <c r="D19" s="3" t="n">
        <v>522</v>
      </c>
      <c r="E19" s="3" t="n">
        <v>18</v>
      </c>
      <c r="F19" s="4">
        <f>B19+C19+D19+E19</f>
        <v/>
      </c>
    </row>
    <row r="20">
      <c r="A20" s="2" t="inlineStr">
        <is>
          <t>Camperas De Abrigo</t>
        </is>
      </c>
      <c r="B20" s="3" t="n">
        <v>90</v>
      </c>
      <c r="C20" s="3" t="n">
        <v>72</v>
      </c>
      <c r="D20" s="3" t="n">
        <v>199</v>
      </c>
      <c r="E20" s="3" t="n">
        <v>11</v>
      </c>
      <c r="F20" s="4">
        <f>B20+C20+D20+E20</f>
        <v/>
      </c>
    </row>
    <row r="21">
      <c r="A21" s="2" t="inlineStr">
        <is>
          <t>Chombas</t>
        </is>
      </c>
      <c r="B21" s="3" t="n">
        <v>114</v>
      </c>
      <c r="C21" s="3" t="n">
        <v>171</v>
      </c>
      <c r="D21" s="3" t="n">
        <v>238</v>
      </c>
      <c r="E21" s="3" t="n">
        <v>5</v>
      </c>
      <c r="F21" s="4">
        <f>B21+C21+D21+E21</f>
        <v/>
      </c>
    </row>
    <row r="22">
      <c r="A22" s="2" t="inlineStr">
        <is>
          <t>Chombas Manga Larga</t>
        </is>
      </c>
      <c r="B22" s="3" t="n">
        <v>66</v>
      </c>
      <c r="C22" s="3" t="n">
        <v>87</v>
      </c>
      <c r="D22" s="3" t="n">
        <v>18</v>
      </c>
      <c r="E22" s="3" t="n">
        <v>2</v>
      </c>
      <c r="F22" s="4">
        <f>B22+C22+D22+E22</f>
        <v/>
      </c>
    </row>
    <row r="23">
      <c r="A23" s="2" t="inlineStr">
        <is>
          <t>Detroit</t>
        </is>
      </c>
      <c r="B23" s="3" t="n"/>
      <c r="C23" s="3" t="n"/>
      <c r="D23" s="3" t="n"/>
      <c r="E23" s="3" t="n">
        <v>1</v>
      </c>
      <c r="F23" s="4">
        <f>B23+C23+D23+E23</f>
        <v/>
      </c>
    </row>
    <row r="24">
      <c r="A24" s="2" t="inlineStr">
        <is>
          <t>Jeans</t>
        </is>
      </c>
      <c r="B24" s="3" t="n">
        <v>395</v>
      </c>
      <c r="C24" s="3" t="n">
        <v>455</v>
      </c>
      <c r="D24" s="3" t="n">
        <v>1959</v>
      </c>
      <c r="E24" s="3" t="n">
        <v>80</v>
      </c>
      <c r="F24" s="4">
        <f>B24+C24+D24+E24</f>
        <v/>
      </c>
    </row>
    <row r="25">
      <c r="A25" s="2" t="inlineStr">
        <is>
          <t>Jeans De Segunda</t>
        </is>
      </c>
      <c r="B25" s="3" t="n"/>
      <c r="C25" s="3" t="n"/>
      <c r="D25" s="3" t="n"/>
      <c r="E25" s="3" t="n"/>
      <c r="F25" s="4">
        <f>B25+C25+D25+E25</f>
        <v/>
      </c>
    </row>
    <row r="26">
      <c r="A26" s="2" t="inlineStr">
        <is>
          <t>Jogging</t>
        </is>
      </c>
      <c r="B26" s="3" t="n">
        <v>82</v>
      </c>
      <c r="C26" s="3" t="n">
        <v>96</v>
      </c>
      <c r="D26" s="3" t="n">
        <v>444</v>
      </c>
      <c r="E26" s="3" t="n">
        <v>24</v>
      </c>
      <c r="F26" s="4">
        <f>B26+C26+D26+E26</f>
        <v/>
      </c>
    </row>
    <row r="27">
      <c r="A27" s="2" t="inlineStr">
        <is>
          <t>Jogging Corto</t>
        </is>
      </c>
      <c r="B27" s="3" t="n">
        <v>5</v>
      </c>
      <c r="C27" s="3" t="n">
        <v>9</v>
      </c>
      <c r="D27" s="3" t="n">
        <v>14</v>
      </c>
      <c r="E27" s="3" t="n">
        <v>4</v>
      </c>
      <c r="F27" s="4">
        <f>B27+C27+D27+E27</f>
        <v/>
      </c>
    </row>
    <row r="28">
      <c r="A28" s="2" t="inlineStr">
        <is>
          <t>Musculosas</t>
        </is>
      </c>
      <c r="B28" s="3" t="n">
        <v>39</v>
      </c>
      <c r="C28" s="3" t="n">
        <v>21</v>
      </c>
      <c r="D28" s="3" t="n">
        <v>62</v>
      </c>
      <c r="E28" s="3" t="n">
        <v>4</v>
      </c>
      <c r="F28" s="4">
        <f>B28+C28+D28+E28</f>
        <v/>
      </c>
    </row>
    <row r="29">
      <c r="A29" s="2" t="inlineStr">
        <is>
          <t>Otro</t>
        </is>
      </c>
      <c r="B29" s="3" t="n"/>
      <c r="C29" s="3" t="n">
        <v>3</v>
      </c>
      <c r="D29" s="3" t="n">
        <v>4</v>
      </c>
      <c r="E29" s="3" t="n">
        <v>2</v>
      </c>
      <c r="F29" s="4">
        <f>B29+C29+D29+E29</f>
        <v/>
      </c>
    </row>
    <row r="30">
      <c r="A30" s="2" t="inlineStr">
        <is>
          <t>Remeras</t>
        </is>
      </c>
      <c r="B30" s="3" t="n">
        <v>964</v>
      </c>
      <c r="C30" s="3" t="n">
        <v>1504</v>
      </c>
      <c r="D30" s="3" t="n">
        <v>2873</v>
      </c>
      <c r="E30" s="3" t="n">
        <v>195</v>
      </c>
      <c r="F30" s="4">
        <f>B30+C30+D30+E30</f>
        <v/>
      </c>
    </row>
    <row r="31">
      <c r="A31" s="2" t="inlineStr">
        <is>
          <t>Sweaters</t>
        </is>
      </c>
      <c r="B31" s="3" t="n">
        <v>112</v>
      </c>
      <c r="C31" s="3" t="n">
        <v>118</v>
      </c>
      <c r="D31" s="3" t="n">
        <v>181</v>
      </c>
      <c r="E31" s="3" t="n">
        <v>3</v>
      </c>
      <c r="F31" s="4">
        <f>B31+C31+D31+E31</f>
        <v/>
      </c>
    </row>
    <row r="32">
      <c r="A32" s="2" t="inlineStr">
        <is>
          <t>Trajes De Baño</t>
        </is>
      </c>
      <c r="B32" s="3" t="n">
        <v>38</v>
      </c>
      <c r="C32" s="3" t="n">
        <v>16</v>
      </c>
      <c r="D32" s="3" t="n">
        <v>133</v>
      </c>
      <c r="E32" s="3" t="n">
        <v>12</v>
      </c>
      <c r="F32" s="4">
        <f>B32+C32+D32+E32</f>
        <v/>
      </c>
    </row>
    <row r="33">
      <c r="A33" s="5" t="inlineStr">
        <is>
          <t>Totals</t>
        </is>
      </c>
      <c r="B33" s="4">
        <f>SUM($B$3:$B$32)</f>
        <v/>
      </c>
      <c r="C33" s="4">
        <f>SUM($C$3:$C$32)</f>
        <v/>
      </c>
      <c r="D33" s="4">
        <f>SUM($D$3:$D$32)</f>
        <v/>
      </c>
      <c r="E33" s="4">
        <f>SUM($E$3:$E$32)</f>
        <v/>
      </c>
      <c r="F33" s="4">
        <f>SUM($F$3:$F$32)</f>
        <v/>
      </c>
    </row>
    <row r="36">
      <c r="A36" s="1" t="inlineStr">
        <is>
          <t>YoY Units Sold Comparison - Branch Group 1</t>
        </is>
      </c>
    </row>
    <row r="37">
      <c r="B37" s="1" t="inlineStr">
        <is>
          <t>LIBERT.R</t>
        </is>
      </c>
      <c r="C37" s="1" t="n"/>
      <c r="D37" s="1" t="n"/>
      <c r="E37" s="1" t="inlineStr">
        <is>
          <t>PASO.R</t>
        </is>
      </c>
      <c r="F37" s="1" t="n"/>
      <c r="G37" s="1" t="n"/>
      <c r="H37" s="1" t="inlineStr">
        <is>
          <t>P.OESTE</t>
        </is>
      </c>
      <c r="I37" s="1" t="n"/>
      <c r="J37" s="1" t="n"/>
      <c r="K37" s="1" t="inlineStr">
        <is>
          <t>Global</t>
        </is>
      </c>
      <c r="L37" s="1" t="n"/>
      <c r="M37" s="1" t="n"/>
    </row>
    <row r="38">
      <c r="A38" s="1" t="inlineStr">
        <is>
          <t>Familias</t>
        </is>
      </c>
      <c r="B38" s="1" t="n">
        <v>2025</v>
      </c>
      <c r="C38" s="1" t="n">
        <v>2026</v>
      </c>
      <c r="D38" s="1" t="inlineStr">
        <is>
          <t>%</t>
        </is>
      </c>
      <c r="E38" s="1" t="n">
        <v>2025</v>
      </c>
      <c r="F38" s="1" t="n">
        <v>2026</v>
      </c>
      <c r="G38" s="1" t="inlineStr">
        <is>
          <t>%</t>
        </is>
      </c>
      <c r="H38" s="1" t="n">
        <v>2025</v>
      </c>
      <c r="I38" s="1" t="n">
        <v>2026</v>
      </c>
      <c r="J38" s="1" t="inlineStr">
        <is>
          <t>%</t>
        </is>
      </c>
      <c r="K38" s="1" t="n">
        <v>2025</v>
      </c>
      <c r="L38" s="1" t="n">
        <v>2026</v>
      </c>
      <c r="M38" s="1" t="inlineStr">
        <is>
          <t>%</t>
        </is>
      </c>
    </row>
    <row r="39">
      <c r="A39" s="2" t="inlineStr">
        <is>
          <t>Accesorios</t>
        </is>
      </c>
      <c r="B39" s="3" t="n">
        <v>274</v>
      </c>
      <c r="C39" s="3" t="n">
        <v>165</v>
      </c>
      <c r="D39" s="6">
        <f>IF(B39=0, "N/A", (C39-B39)/B39)</f>
        <v/>
      </c>
      <c r="E39" s="3" t="n">
        <v>258</v>
      </c>
      <c r="F39" s="3" t="n">
        <v>248</v>
      </c>
      <c r="G39" s="6">
        <f>IF(E39=0, "N/A", (F39-E39)/E39)</f>
        <v/>
      </c>
      <c r="H39" s="3" t="n">
        <v>639</v>
      </c>
      <c r="I39" s="3" t="n">
        <v>466</v>
      </c>
      <c r="J39" s="6">
        <f>IF(H39=0, "N/A", (I39-H39)/H39)</f>
        <v/>
      </c>
      <c r="K39" s="3">
        <f>B39+E39+H39</f>
        <v/>
      </c>
      <c r="L39" s="3">
        <f>C39+F39+I39</f>
        <v/>
      </c>
      <c r="M39" s="6">
        <f>IF(K39=0, "N/A", (L39-K39)/K39)</f>
        <v/>
      </c>
    </row>
    <row r="40">
      <c r="A40" s="2" t="inlineStr">
        <is>
          <t>Bermudas</t>
        </is>
      </c>
      <c r="B40" s="3" t="n">
        <v>93</v>
      </c>
      <c r="C40" s="3" t="n">
        <v>46</v>
      </c>
      <c r="D40" s="6">
        <f>IF(B40=0, "N/A", (C40-B40)/B40)</f>
        <v/>
      </c>
      <c r="E40" s="3" t="n">
        <v>140</v>
      </c>
      <c r="F40" s="3" t="n">
        <v>101</v>
      </c>
      <c r="G40" s="6">
        <f>IF(E40=0, "N/A", (F40-E40)/E40)</f>
        <v/>
      </c>
      <c r="H40" s="3" t="n">
        <v>238</v>
      </c>
      <c r="I40" s="3" t="n">
        <v>250</v>
      </c>
      <c r="J40" s="6">
        <f>IF(H40=0, "N/A", (I40-H40)/H40)</f>
        <v/>
      </c>
      <c r="K40" s="3">
        <f>B40+E40+H40</f>
        <v/>
      </c>
      <c r="L40" s="3">
        <f>C40+F40+I40</f>
        <v/>
      </c>
      <c r="M40" s="6">
        <f>IF(K40=0, "N/A", (L40-K40)/K40)</f>
        <v/>
      </c>
    </row>
    <row r="41">
      <c r="A41" s="2" t="inlineStr">
        <is>
          <t>Boxer</t>
        </is>
      </c>
      <c r="B41" s="3" t="n">
        <v>105</v>
      </c>
      <c r="C41" s="3" t="n">
        <v>88</v>
      </c>
      <c r="D41" s="6">
        <f>IF(B41=0, "N/A", (C41-B41)/B41)</f>
        <v/>
      </c>
      <c r="E41" s="3" t="n">
        <v>160</v>
      </c>
      <c r="F41" s="3" t="n">
        <v>141</v>
      </c>
      <c r="G41" s="6">
        <f>IF(E41=0, "N/A", (F41-E41)/E41)</f>
        <v/>
      </c>
      <c r="H41" s="3" t="n">
        <v>520</v>
      </c>
      <c r="I41" s="3" t="n">
        <v>615</v>
      </c>
      <c r="J41" s="6">
        <f>IF(H41=0, "N/A", (I41-H41)/H41)</f>
        <v/>
      </c>
      <c r="K41" s="3">
        <f>B41+E41+H41</f>
        <v/>
      </c>
      <c r="L41" s="3">
        <f>C41+F41+I41</f>
        <v/>
      </c>
      <c r="M41" s="6">
        <f>IF(K41=0, "N/A", (L41-K41)/K41)</f>
        <v/>
      </c>
    </row>
    <row r="42">
      <c r="A42" s="2" t="inlineStr">
        <is>
          <t>Buzo C Capucha Rustico</t>
        </is>
      </c>
      <c r="B42" s="3" t="n">
        <v>2</v>
      </c>
      <c r="C42" s="3" t="n"/>
      <c r="D42" s="6">
        <f>IF(B42=0, "N/A", (C42-B42)/B42)</f>
        <v/>
      </c>
      <c r="E42" s="3" t="n">
        <v>1</v>
      </c>
      <c r="F42" s="3" t="n"/>
      <c r="G42" s="6">
        <f>IF(E42=0, "N/A", (F42-E42)/E42)</f>
        <v/>
      </c>
      <c r="H42" s="3" t="n">
        <v>2</v>
      </c>
      <c r="I42" s="3" t="n">
        <v>16</v>
      </c>
      <c r="J42" s="6">
        <f>IF(H42=0, "N/A", (I42-H42)/H42)</f>
        <v/>
      </c>
      <c r="K42" s="3">
        <f>B42+E42+H42</f>
        <v/>
      </c>
      <c r="L42" s="3">
        <f>C42+F42+I42</f>
        <v/>
      </c>
      <c r="M42" s="6">
        <f>IF(K42=0, "N/A", (L42-K42)/K42)</f>
        <v/>
      </c>
    </row>
    <row r="43">
      <c r="A43" s="2" t="inlineStr">
        <is>
          <t>Buzo Cuello Redondo</t>
        </is>
      </c>
      <c r="B43" s="3" t="n">
        <v>374</v>
      </c>
      <c r="C43" s="3" t="n">
        <v>222</v>
      </c>
      <c r="D43" s="6">
        <f>IF(B43=0, "N/A", (C43-B43)/B43)</f>
        <v/>
      </c>
      <c r="E43" s="3" t="n">
        <v>499</v>
      </c>
      <c r="F43" s="3" t="n">
        <v>359</v>
      </c>
      <c r="G43" s="6">
        <f>IF(E43=0, "N/A", (F43-E43)/E43)</f>
        <v/>
      </c>
      <c r="H43" s="3" t="n">
        <v>991</v>
      </c>
      <c r="I43" s="3" t="n">
        <v>1117</v>
      </c>
      <c r="J43" s="6">
        <f>IF(H43=0, "N/A", (I43-H43)/H43)</f>
        <v/>
      </c>
      <c r="K43" s="3">
        <f>B43+E43+H43</f>
        <v/>
      </c>
      <c r="L43" s="3">
        <f>C43+F43+I43</f>
        <v/>
      </c>
      <c r="M43" s="6">
        <f>IF(K43=0, "N/A", (L43-K43)/K43)</f>
        <v/>
      </c>
    </row>
    <row r="44">
      <c r="A44" s="2" t="inlineStr">
        <is>
          <t>Buzos C Capucha</t>
        </is>
      </c>
      <c r="B44" s="3" t="n">
        <v>335</v>
      </c>
      <c r="C44" s="3" t="n">
        <v>206</v>
      </c>
      <c r="D44" s="6">
        <f>IF(B44=0, "N/A", (C44-B44)/B44)</f>
        <v/>
      </c>
      <c r="E44" s="3" t="n">
        <v>336</v>
      </c>
      <c r="F44" s="3" t="n">
        <v>227</v>
      </c>
      <c r="G44" s="6">
        <f>IF(E44=0, "N/A", (F44-E44)/E44)</f>
        <v/>
      </c>
      <c r="H44" s="3" t="n">
        <v>1037</v>
      </c>
      <c r="I44" s="3" t="n">
        <v>682</v>
      </c>
      <c r="J44" s="6">
        <f>IF(H44=0, "N/A", (I44-H44)/H44)</f>
        <v/>
      </c>
      <c r="K44" s="3">
        <f>B44+E44+H44</f>
        <v/>
      </c>
      <c r="L44" s="3">
        <f>C44+F44+I44</f>
        <v/>
      </c>
      <c r="M44" s="6">
        <f>IF(K44=0, "N/A", (L44-K44)/K44)</f>
        <v/>
      </c>
    </row>
    <row r="45">
      <c r="A45" s="2" t="inlineStr">
        <is>
          <t>Buzos C Capucha Orangutan</t>
        </is>
      </c>
      <c r="B45" s="3" t="n"/>
      <c r="C45" s="3" t="n">
        <v>46</v>
      </c>
      <c r="D45" s="6">
        <f>IF(B45=0, "N/A", (C45-B45)/B45)</f>
        <v/>
      </c>
      <c r="E45" s="3" t="n"/>
      <c r="F45" s="3" t="n">
        <v>64</v>
      </c>
      <c r="G45" s="6">
        <f>IF(E45=0, "N/A", (F45-E45)/E45)</f>
        <v/>
      </c>
      <c r="H45" s="3" t="n"/>
      <c r="I45" s="3" t="n">
        <v>250</v>
      </c>
      <c r="J45" s="6">
        <f>IF(H45=0, "N/A", (I45-H45)/H45)</f>
        <v/>
      </c>
      <c r="K45" s="3">
        <f>B45+E45+H45</f>
        <v/>
      </c>
      <c r="L45" s="3">
        <f>C45+F45+I45</f>
        <v/>
      </c>
      <c r="M45" s="6">
        <f>IF(K45=0, "N/A", (L45-K45)/K45)</f>
        <v/>
      </c>
    </row>
    <row r="46">
      <c r="A46" s="2" t="inlineStr">
        <is>
          <t>Buzos C Redondo Orangutan</t>
        </is>
      </c>
      <c r="B46" s="3" t="n"/>
      <c r="C46" s="3" t="n">
        <v>60</v>
      </c>
      <c r="D46" s="6">
        <f>IF(B46=0, "N/A", (C46-B46)/B46)</f>
        <v/>
      </c>
      <c r="E46" s="3" t="n"/>
      <c r="F46" s="3" t="n">
        <v>80</v>
      </c>
      <c r="G46" s="6">
        <f>IF(E46=0, "N/A", (F46-E46)/E46)</f>
        <v/>
      </c>
      <c r="H46" s="3" t="n"/>
      <c r="I46" s="3" t="n">
        <v>241</v>
      </c>
      <c r="J46" s="6">
        <f>IF(H46=0, "N/A", (I46-H46)/H46)</f>
        <v/>
      </c>
      <c r="K46" s="3">
        <f>B46+E46+H46</f>
        <v/>
      </c>
      <c r="L46" s="3">
        <f>C46+F46+I46</f>
        <v/>
      </c>
      <c r="M46" s="6">
        <f>IF(K46=0, "N/A", (L46-K46)/K46)</f>
        <v/>
      </c>
    </row>
    <row r="47">
      <c r="A47" s="2" t="inlineStr">
        <is>
          <t>Buzos C Redondo Rustico</t>
        </is>
      </c>
      <c r="B47" s="3" t="n">
        <v>8</v>
      </c>
      <c r="C47" s="3" t="n"/>
      <c r="D47" s="6">
        <f>IF(B47=0, "N/A", (C47-B47)/B47)</f>
        <v/>
      </c>
      <c r="E47" s="3" t="n">
        <v>2</v>
      </c>
      <c r="F47" s="3" t="n"/>
      <c r="G47" s="6">
        <f>IF(E47=0, "N/A", (F47-E47)/E47)</f>
        <v/>
      </c>
      <c r="H47" s="3" t="n">
        <v>7</v>
      </c>
      <c r="I47" s="3" t="n">
        <v>3</v>
      </c>
      <c r="J47" s="6">
        <f>IF(H47=0, "N/A", (I47-H47)/H47)</f>
        <v/>
      </c>
      <c r="K47" s="3">
        <f>B47+E47+H47</f>
        <v/>
      </c>
      <c r="L47" s="3">
        <f>C47+F47+I47</f>
        <v/>
      </c>
      <c r="M47" s="6">
        <f>IF(K47=0, "N/A", (L47-K47)/K47)</f>
        <v/>
      </c>
    </row>
    <row r="48">
      <c r="A48" s="2" t="inlineStr">
        <is>
          <t>Buzos Medio Cierre</t>
        </is>
      </c>
      <c r="B48" s="3" t="n">
        <v>39</v>
      </c>
      <c r="C48" s="3" t="n">
        <v>70</v>
      </c>
      <c r="D48" s="6">
        <f>IF(B48=0, "N/A", (C48-B48)/B48)</f>
        <v/>
      </c>
      <c r="E48" s="3" t="n">
        <v>35</v>
      </c>
      <c r="F48" s="3" t="n">
        <v>68</v>
      </c>
      <c r="G48" s="6">
        <f>IF(E48=0, "N/A", (F48-E48)/E48)</f>
        <v/>
      </c>
      <c r="H48" s="3" t="n">
        <v>351</v>
      </c>
      <c r="I48" s="3" t="n">
        <v>229</v>
      </c>
      <c r="J48" s="6">
        <f>IF(H48=0, "N/A", (I48-H48)/H48)</f>
        <v/>
      </c>
      <c r="K48" s="3">
        <f>B48+E48+H48</f>
        <v/>
      </c>
      <c r="L48" s="3">
        <f>C48+F48+I48</f>
        <v/>
      </c>
      <c r="M48" s="6">
        <f>IF(K48=0, "N/A", (L48-K48)/K48)</f>
        <v/>
      </c>
    </row>
    <row r="49">
      <c r="A49" s="2" t="inlineStr">
        <is>
          <t>Calzado</t>
        </is>
      </c>
      <c r="B49" s="3" t="n">
        <v>29</v>
      </c>
      <c r="C49" s="3" t="n">
        <v>15</v>
      </c>
      <c r="D49" s="6">
        <f>IF(B49=0, "N/A", (C49-B49)/B49)</f>
        <v/>
      </c>
      <c r="E49" s="3" t="n">
        <v>25</v>
      </c>
      <c r="F49" s="3" t="n">
        <v>13</v>
      </c>
      <c r="G49" s="6">
        <f>IF(E49=0, "N/A", (F49-E49)/E49)</f>
        <v/>
      </c>
      <c r="H49" s="3" t="n">
        <v>42</v>
      </c>
      <c r="I49" s="3" t="n">
        <v>14</v>
      </c>
      <c r="J49" s="6">
        <f>IF(H49=0, "N/A", (I49-H49)/H49)</f>
        <v/>
      </c>
      <c r="K49" s="3">
        <f>B49+E49+H49</f>
        <v/>
      </c>
      <c r="L49" s="3">
        <f>C49+F49+I49</f>
        <v/>
      </c>
      <c r="M49" s="6">
        <f>IF(K49=0, "N/A", (L49-K49)/K49)</f>
        <v/>
      </c>
    </row>
    <row r="50">
      <c r="A50" s="2" t="inlineStr">
        <is>
          <t>Camisas</t>
        </is>
      </c>
      <c r="B50" s="3" t="n">
        <v>51</v>
      </c>
      <c r="C50" s="3" t="n">
        <v>32</v>
      </c>
      <c r="D50" s="6">
        <f>IF(B50=0, "N/A", (C50-B50)/B50)</f>
        <v/>
      </c>
      <c r="E50" s="3" t="n">
        <v>32</v>
      </c>
      <c r="F50" s="3" t="n">
        <v>32</v>
      </c>
      <c r="G50" s="6">
        <f>IF(E50=0, "N/A", (F50-E50)/E50)</f>
        <v/>
      </c>
      <c r="H50" s="3" t="n">
        <v>89</v>
      </c>
      <c r="I50" s="3" t="n">
        <v>62</v>
      </c>
      <c r="J50" s="6">
        <f>IF(H50=0, "N/A", (I50-H50)/H50)</f>
        <v/>
      </c>
      <c r="K50" s="3">
        <f>B50+E50+H50</f>
        <v/>
      </c>
      <c r="L50" s="3">
        <f>C50+F50+I50</f>
        <v/>
      </c>
      <c r="M50" s="6">
        <f>IF(K50=0, "N/A", (L50-K50)/K50)</f>
        <v/>
      </c>
    </row>
    <row r="51">
      <c r="A51" s="2" t="inlineStr">
        <is>
          <t>Camisetas Manga Larga</t>
        </is>
      </c>
      <c r="B51" s="3" t="n">
        <v>279</v>
      </c>
      <c r="C51" s="3" t="n">
        <v>215</v>
      </c>
      <c r="D51" s="6">
        <f>IF(B51=0, "N/A", (C51-B51)/B51)</f>
        <v/>
      </c>
      <c r="E51" s="3" t="n">
        <v>406</v>
      </c>
      <c r="F51" s="3" t="n">
        <v>315</v>
      </c>
      <c r="G51" s="6">
        <f>IF(E51=0, "N/A", (F51-E51)/E51)</f>
        <v/>
      </c>
      <c r="H51" s="3" t="n">
        <v>426</v>
      </c>
      <c r="I51" s="3" t="n">
        <v>372</v>
      </c>
      <c r="J51" s="6">
        <f>IF(H51=0, "N/A", (I51-H51)/H51)</f>
        <v/>
      </c>
      <c r="K51" s="3">
        <f>B51+E51+H51</f>
        <v/>
      </c>
      <c r="L51" s="3">
        <f>C51+F51+I51</f>
        <v/>
      </c>
      <c r="M51" s="6">
        <f>IF(K51=0, "N/A", (L51-K51)/K51)</f>
        <v/>
      </c>
    </row>
    <row r="52">
      <c r="A52" s="2" t="inlineStr">
        <is>
          <t>Camisetas Manga Larga Orangutan</t>
        </is>
      </c>
      <c r="B52" s="3" t="n"/>
      <c r="C52" s="3" t="n">
        <v>26</v>
      </c>
      <c r="D52" s="6">
        <f>IF(B52=0, "N/A", (C52-B52)/B52)</f>
        <v/>
      </c>
      <c r="E52" s="3" t="n"/>
      <c r="F52" s="3" t="n">
        <v>37</v>
      </c>
      <c r="G52" s="6">
        <f>IF(E52=0, "N/A", (F52-E52)/E52)</f>
        <v/>
      </c>
      <c r="H52" s="3" t="n"/>
      <c r="I52" s="3" t="n">
        <v>289</v>
      </c>
      <c r="J52" s="6">
        <f>IF(H52=0, "N/A", (I52-H52)/H52)</f>
        <v/>
      </c>
      <c r="K52" s="3">
        <f>B52+E52+H52</f>
        <v/>
      </c>
      <c r="L52" s="3">
        <f>C52+F52+I52</f>
        <v/>
      </c>
      <c r="M52" s="6">
        <f>IF(K52=0, "N/A", (L52-K52)/K52)</f>
        <v/>
      </c>
    </row>
    <row r="53">
      <c r="A53" s="2" t="inlineStr">
        <is>
          <t>Campera Capucha Rustico</t>
        </is>
      </c>
      <c r="B53" s="3" t="n"/>
      <c r="C53" s="3" t="n"/>
      <c r="D53" s="6">
        <f>IF(B53=0, "N/A", (C53-B53)/B53)</f>
        <v/>
      </c>
      <c r="E53" s="3" t="n"/>
      <c r="F53" s="3" t="n"/>
      <c r="G53" s="6">
        <f>IF(E53=0, "N/A", (F53-E53)/E53)</f>
        <v/>
      </c>
      <c r="H53" s="3" t="n"/>
      <c r="I53" s="3" t="n">
        <v>5</v>
      </c>
      <c r="J53" s="6">
        <f>IF(H53=0, "N/A", (I53-H53)/H53)</f>
        <v/>
      </c>
      <c r="K53" s="3">
        <f>B53+E53+H53</f>
        <v/>
      </c>
      <c r="L53" s="3">
        <f>C53+F53+I53</f>
        <v/>
      </c>
      <c r="M53" s="6">
        <f>IF(K53=0, "N/A", (L53-K53)/K53)</f>
        <v/>
      </c>
    </row>
    <row r="54">
      <c r="A54" s="2" t="inlineStr">
        <is>
          <t>Campera S Capucha</t>
        </is>
      </c>
      <c r="B54" s="3" t="n">
        <v>80</v>
      </c>
      <c r="C54" s="3" t="n">
        <v>12</v>
      </c>
      <c r="D54" s="6">
        <f>IF(B54=0, "N/A", (C54-B54)/B54)</f>
        <v/>
      </c>
      <c r="E54" s="3" t="n">
        <v>123</v>
      </c>
      <c r="F54" s="3" t="n">
        <v>17</v>
      </c>
      <c r="G54" s="6">
        <f>IF(E54=0, "N/A", (F54-E54)/E54)</f>
        <v/>
      </c>
      <c r="H54" s="3" t="n">
        <v>252</v>
      </c>
      <c r="I54" s="3" t="n">
        <v>120</v>
      </c>
      <c r="J54" s="6">
        <f>IF(H54=0, "N/A", (I54-H54)/H54)</f>
        <v/>
      </c>
      <c r="K54" s="3">
        <f>B54+E54+H54</f>
        <v/>
      </c>
      <c r="L54" s="3">
        <f>C54+F54+I54</f>
        <v/>
      </c>
      <c r="M54" s="6">
        <f>IF(K54=0, "N/A", (L54-K54)/K54)</f>
        <v/>
      </c>
    </row>
    <row r="55">
      <c r="A55" s="2" t="inlineStr">
        <is>
          <t>Camperas Capucha</t>
        </is>
      </c>
      <c r="B55" s="3" t="n">
        <v>92</v>
      </c>
      <c r="C55" s="3" t="n">
        <v>159</v>
      </c>
      <c r="D55" s="6">
        <f>IF(B55=0, "N/A", (C55-B55)/B55)</f>
        <v/>
      </c>
      <c r="E55" s="3" t="n">
        <v>84</v>
      </c>
      <c r="F55" s="3" t="n">
        <v>195</v>
      </c>
      <c r="G55" s="6">
        <f>IF(E55=0, "N/A", (F55-E55)/E55)</f>
        <v/>
      </c>
      <c r="H55" s="3" t="n">
        <v>579</v>
      </c>
      <c r="I55" s="3" t="n">
        <v>522</v>
      </c>
      <c r="J55" s="6">
        <f>IF(H55=0, "N/A", (I55-H55)/H55)</f>
        <v/>
      </c>
      <c r="K55" s="3">
        <f>B55+E55+H55</f>
        <v/>
      </c>
      <c r="L55" s="3">
        <f>C55+F55+I55</f>
        <v/>
      </c>
      <c r="M55" s="6">
        <f>IF(K55=0, "N/A", (L55-K55)/K55)</f>
        <v/>
      </c>
    </row>
    <row r="56">
      <c r="A56" s="2" t="inlineStr">
        <is>
          <t>Camperas De Abrigo</t>
        </is>
      </c>
      <c r="B56" s="3" t="n">
        <v>101</v>
      </c>
      <c r="C56" s="3" t="n">
        <v>90</v>
      </c>
      <c r="D56" s="6">
        <f>IF(B56=0, "N/A", (C56-B56)/B56)</f>
        <v/>
      </c>
      <c r="E56" s="3" t="n">
        <v>93</v>
      </c>
      <c r="F56" s="3" t="n">
        <v>72</v>
      </c>
      <c r="G56" s="6">
        <f>IF(E56=0, "N/A", (F56-E56)/E56)</f>
        <v/>
      </c>
      <c r="H56" s="3" t="n">
        <v>148</v>
      </c>
      <c r="I56" s="3" t="n">
        <v>199</v>
      </c>
      <c r="J56" s="6">
        <f>IF(H56=0, "N/A", (I56-H56)/H56)</f>
        <v/>
      </c>
      <c r="K56" s="3">
        <f>B56+E56+H56</f>
        <v/>
      </c>
      <c r="L56" s="3">
        <f>C56+F56+I56</f>
        <v/>
      </c>
      <c r="M56" s="6">
        <f>IF(K56=0, "N/A", (L56-K56)/K56)</f>
        <v/>
      </c>
    </row>
    <row r="57">
      <c r="A57" s="2" t="inlineStr">
        <is>
          <t>Chombas</t>
        </is>
      </c>
      <c r="B57" s="3" t="n">
        <v>208</v>
      </c>
      <c r="C57" s="3" t="n">
        <v>114</v>
      </c>
      <c r="D57" s="6">
        <f>IF(B57=0, "N/A", (C57-B57)/B57)</f>
        <v/>
      </c>
      <c r="E57" s="3" t="n">
        <v>216</v>
      </c>
      <c r="F57" s="3" t="n">
        <v>171</v>
      </c>
      <c r="G57" s="6">
        <f>IF(E57=0, "N/A", (F57-E57)/E57)</f>
        <v/>
      </c>
      <c r="H57" s="3" t="n">
        <v>186</v>
      </c>
      <c r="I57" s="3" t="n">
        <v>238</v>
      </c>
      <c r="J57" s="6">
        <f>IF(H57=0, "N/A", (I57-H57)/H57)</f>
        <v/>
      </c>
      <c r="K57" s="3">
        <f>B57+E57+H57</f>
        <v/>
      </c>
      <c r="L57" s="3">
        <f>C57+F57+I57</f>
        <v/>
      </c>
      <c r="M57" s="6">
        <f>IF(K57=0, "N/A", (L57-K57)/K57)</f>
        <v/>
      </c>
    </row>
    <row r="58">
      <c r="A58" s="2" t="inlineStr">
        <is>
          <t>Chombas Manga Larga</t>
        </is>
      </c>
      <c r="B58" s="3" t="n">
        <v>3</v>
      </c>
      <c r="C58" s="3" t="n">
        <v>66</v>
      </c>
      <c r="D58" s="6">
        <f>IF(B58=0, "N/A", (C58-B58)/B58)</f>
        <v/>
      </c>
      <c r="E58" s="3" t="n">
        <v>2</v>
      </c>
      <c r="F58" s="3" t="n">
        <v>87</v>
      </c>
      <c r="G58" s="6">
        <f>IF(E58=0, "N/A", (F58-E58)/E58)</f>
        <v/>
      </c>
      <c r="H58" s="3" t="n">
        <v>37</v>
      </c>
      <c r="I58" s="3" t="n">
        <v>18</v>
      </c>
      <c r="J58" s="6">
        <f>IF(H58=0, "N/A", (I58-H58)/H58)</f>
        <v/>
      </c>
      <c r="K58" s="3">
        <f>B58+E58+H58</f>
        <v/>
      </c>
      <c r="L58" s="3">
        <f>C58+F58+I58</f>
        <v/>
      </c>
      <c r="M58" s="6">
        <f>IF(K58=0, "N/A", (L58-K58)/K58)</f>
        <v/>
      </c>
    </row>
    <row r="59">
      <c r="A59" s="2" t="inlineStr">
        <is>
          <t>Jeans</t>
        </is>
      </c>
      <c r="B59" s="3" t="n">
        <v>357</v>
      </c>
      <c r="C59" s="3" t="n">
        <v>395</v>
      </c>
      <c r="D59" s="6">
        <f>IF(B59=0, "N/A", (C59-B59)/B59)</f>
        <v/>
      </c>
      <c r="E59" s="3" t="n">
        <v>557</v>
      </c>
      <c r="F59" s="3" t="n">
        <v>455</v>
      </c>
      <c r="G59" s="6">
        <f>IF(E59=0, "N/A", (F59-E59)/E59)</f>
        <v/>
      </c>
      <c r="H59" s="3" t="n">
        <v>1429</v>
      </c>
      <c r="I59" s="3" t="n">
        <v>1959</v>
      </c>
      <c r="J59" s="6">
        <f>IF(H59=0, "N/A", (I59-H59)/H59)</f>
        <v/>
      </c>
      <c r="K59" s="3">
        <f>B59+E59+H59</f>
        <v/>
      </c>
      <c r="L59" s="3">
        <f>C59+F59+I59</f>
        <v/>
      </c>
      <c r="M59" s="6">
        <f>IF(K59=0, "N/A", (L59-K59)/K59)</f>
        <v/>
      </c>
    </row>
    <row r="60">
      <c r="A60" s="2" t="inlineStr">
        <is>
          <t>Jeans De Segunda</t>
        </is>
      </c>
      <c r="B60" s="3" t="n"/>
      <c r="C60" s="3" t="n"/>
      <c r="D60" s="6">
        <f>IF(B60=0, "N/A", (C60-B60)/B60)</f>
        <v/>
      </c>
      <c r="E60" s="3" t="n"/>
      <c r="F60" s="3" t="n"/>
      <c r="G60" s="6">
        <f>IF(E60=0, "N/A", (F60-E60)/E60)</f>
        <v/>
      </c>
      <c r="H60" s="3" t="n"/>
      <c r="I60" s="3" t="n"/>
      <c r="J60" s="6">
        <f>IF(H60=0, "N/A", (I60-H60)/H60)</f>
        <v/>
      </c>
      <c r="K60" s="3">
        <f>B60+E60+H60</f>
        <v/>
      </c>
      <c r="L60" s="3">
        <f>C60+F60+I60</f>
        <v/>
      </c>
      <c r="M60" s="6">
        <f>IF(K60=0, "N/A", (L60-K60)/K60)</f>
        <v/>
      </c>
    </row>
    <row r="61">
      <c r="A61" s="2" t="inlineStr">
        <is>
          <t>Jogging</t>
        </is>
      </c>
      <c r="B61" s="3" t="n">
        <v>141</v>
      </c>
      <c r="C61" s="3" t="n">
        <v>82</v>
      </c>
      <c r="D61" s="6">
        <f>IF(B61=0, "N/A", (C61-B61)/B61)</f>
        <v/>
      </c>
      <c r="E61" s="3" t="n">
        <v>124</v>
      </c>
      <c r="F61" s="3" t="n">
        <v>96</v>
      </c>
      <c r="G61" s="6">
        <f>IF(E61=0, "N/A", (F61-E61)/E61)</f>
        <v/>
      </c>
      <c r="H61" s="3" t="n">
        <v>458</v>
      </c>
      <c r="I61" s="3" t="n">
        <v>444</v>
      </c>
      <c r="J61" s="6">
        <f>IF(H61=0, "N/A", (I61-H61)/H61)</f>
        <v/>
      </c>
      <c r="K61" s="3">
        <f>B61+E61+H61</f>
        <v/>
      </c>
      <c r="L61" s="3">
        <f>C61+F61+I61</f>
        <v/>
      </c>
      <c r="M61" s="6">
        <f>IF(K61=0, "N/A", (L61-K61)/K61)</f>
        <v/>
      </c>
    </row>
    <row r="62">
      <c r="A62" s="2" t="inlineStr">
        <is>
          <t>Jogging Corto</t>
        </is>
      </c>
      <c r="B62" s="3" t="n"/>
      <c r="C62" s="3" t="n">
        <v>5</v>
      </c>
      <c r="D62" s="6">
        <f>IF(B62=0, "N/A", (C62-B62)/B62)</f>
        <v/>
      </c>
      <c r="E62" s="3" t="n"/>
      <c r="F62" s="3" t="n">
        <v>9</v>
      </c>
      <c r="G62" s="6">
        <f>IF(E62=0, "N/A", (F62-E62)/E62)</f>
        <v/>
      </c>
      <c r="H62" s="3" t="n">
        <v>4</v>
      </c>
      <c r="I62" s="3" t="n">
        <v>14</v>
      </c>
      <c r="J62" s="6">
        <f>IF(H62=0, "N/A", (I62-H62)/H62)</f>
        <v/>
      </c>
      <c r="K62" s="3">
        <f>B62+E62+H62</f>
        <v/>
      </c>
      <c r="L62" s="3">
        <f>C62+F62+I62</f>
        <v/>
      </c>
      <c r="M62" s="6">
        <f>IF(K62=0, "N/A", (L62-K62)/K62)</f>
        <v/>
      </c>
    </row>
    <row r="63">
      <c r="A63" s="2" t="inlineStr">
        <is>
          <t>Musculosas</t>
        </is>
      </c>
      <c r="B63" s="3" t="n">
        <v>85</v>
      </c>
      <c r="C63" s="3" t="n">
        <v>39</v>
      </c>
      <c r="D63" s="6">
        <f>IF(B63=0, "N/A", (C63-B63)/B63)</f>
        <v/>
      </c>
      <c r="E63" s="3" t="n">
        <v>28</v>
      </c>
      <c r="F63" s="3" t="n">
        <v>21</v>
      </c>
      <c r="G63" s="6">
        <f>IF(E63=0, "N/A", (F63-E63)/E63)</f>
        <v/>
      </c>
      <c r="H63" s="3" t="n">
        <v>14</v>
      </c>
      <c r="I63" s="3" t="n">
        <v>62</v>
      </c>
      <c r="J63" s="6">
        <f>IF(H63=0, "N/A", (I63-H63)/H63)</f>
        <v/>
      </c>
      <c r="K63" s="3">
        <f>B63+E63+H63</f>
        <v/>
      </c>
      <c r="L63" s="3">
        <f>C63+F63+I63</f>
        <v/>
      </c>
      <c r="M63" s="6">
        <f>IF(K63=0, "N/A", (L63-K63)/K63)</f>
        <v/>
      </c>
    </row>
    <row r="64">
      <c r="A64" s="2" t="inlineStr">
        <is>
          <t>Otro</t>
        </is>
      </c>
      <c r="B64" s="3" t="n">
        <v>24</v>
      </c>
      <c r="C64" s="3" t="n"/>
      <c r="D64" s="6">
        <f>IF(B64=0, "N/A", (C64-B64)/B64)</f>
        <v/>
      </c>
      <c r="E64" s="3" t="n">
        <v>30</v>
      </c>
      <c r="F64" s="3" t="n">
        <v>3</v>
      </c>
      <c r="G64" s="6">
        <f>IF(E64=0, "N/A", (F64-E64)/E64)</f>
        <v/>
      </c>
      <c r="H64" s="3" t="n">
        <v>2</v>
      </c>
      <c r="I64" s="3" t="n">
        <v>4</v>
      </c>
      <c r="J64" s="6">
        <f>IF(H64=0, "N/A", (I64-H64)/H64)</f>
        <v/>
      </c>
      <c r="K64" s="3">
        <f>B64+E64+H64</f>
        <v/>
      </c>
      <c r="L64" s="3">
        <f>C64+F64+I64</f>
        <v/>
      </c>
      <c r="M64" s="6">
        <f>IF(K64=0, "N/A", (L64-K64)/K64)</f>
        <v/>
      </c>
    </row>
    <row r="65">
      <c r="A65" s="2" t="inlineStr">
        <is>
          <t>Remeras</t>
        </is>
      </c>
      <c r="B65" s="3" t="n">
        <v>1052</v>
      </c>
      <c r="C65" s="3" t="n">
        <v>964</v>
      </c>
      <c r="D65" s="6">
        <f>IF(B65=0, "N/A", (C65-B65)/B65)</f>
        <v/>
      </c>
      <c r="E65" s="3" t="n">
        <v>1621</v>
      </c>
      <c r="F65" s="3" t="n">
        <v>1504</v>
      </c>
      <c r="G65" s="6">
        <f>IF(E65=0, "N/A", (F65-E65)/E65)</f>
        <v/>
      </c>
      <c r="H65" s="3" t="n">
        <v>3975</v>
      </c>
      <c r="I65" s="3" t="n">
        <v>2873</v>
      </c>
      <c r="J65" s="6">
        <f>IF(H65=0, "N/A", (I65-H65)/H65)</f>
        <v/>
      </c>
      <c r="K65" s="3">
        <f>B65+E65+H65</f>
        <v/>
      </c>
      <c r="L65" s="3">
        <f>C65+F65+I65</f>
        <v/>
      </c>
      <c r="M65" s="6">
        <f>IF(K65=0, "N/A", (L65-K65)/K65)</f>
        <v/>
      </c>
    </row>
    <row r="66">
      <c r="A66" s="2" t="inlineStr">
        <is>
          <t>Sweaters</t>
        </is>
      </c>
      <c r="B66" s="3" t="n">
        <v>83</v>
      </c>
      <c r="C66" s="3" t="n">
        <v>112</v>
      </c>
      <c r="D66" s="6">
        <f>IF(B66=0, "N/A", (C66-B66)/B66)</f>
        <v/>
      </c>
      <c r="E66" s="3" t="n">
        <v>173</v>
      </c>
      <c r="F66" s="3" t="n">
        <v>118</v>
      </c>
      <c r="G66" s="6">
        <f>IF(E66=0, "N/A", (F66-E66)/E66)</f>
        <v/>
      </c>
      <c r="H66" s="3" t="n">
        <v>177</v>
      </c>
      <c r="I66" s="3" t="n">
        <v>181</v>
      </c>
      <c r="J66" s="6">
        <f>IF(H66=0, "N/A", (I66-H66)/H66)</f>
        <v/>
      </c>
      <c r="K66" s="3">
        <f>B66+E66+H66</f>
        <v/>
      </c>
      <c r="L66" s="3">
        <f>C66+F66+I66</f>
        <v/>
      </c>
      <c r="M66" s="6">
        <f>IF(K66=0, "N/A", (L66-K66)/K66)</f>
        <v/>
      </c>
    </row>
    <row r="67">
      <c r="A67" s="2" t="inlineStr">
        <is>
          <t>Trajes De Baño</t>
        </is>
      </c>
      <c r="B67" s="3" t="n">
        <v>52</v>
      </c>
      <c r="C67" s="3" t="n">
        <v>38</v>
      </c>
      <c r="D67" s="6">
        <f>IF(B67=0, "N/A", (C67-B67)/B67)</f>
        <v/>
      </c>
      <c r="E67" s="3" t="n">
        <v>60</v>
      </c>
      <c r="F67" s="3" t="n">
        <v>16</v>
      </c>
      <c r="G67" s="6">
        <f>IF(E67=0, "N/A", (F67-E67)/E67)</f>
        <v/>
      </c>
      <c r="H67" s="3" t="n">
        <v>33</v>
      </c>
      <c r="I67" s="3" t="n">
        <v>133</v>
      </c>
      <c r="J67" s="6">
        <f>IF(H67=0, "N/A", (I67-H67)/H67)</f>
        <v/>
      </c>
      <c r="K67" s="3">
        <f>B67+E67+H67</f>
        <v/>
      </c>
      <c r="L67" s="3">
        <f>C67+F67+I67</f>
        <v/>
      </c>
      <c r="M67" s="6">
        <f>IF(K67=0, "N/A", (L67-K67)/K67)</f>
        <v/>
      </c>
    </row>
    <row r="68">
      <c r="A68" s="5" t="inlineStr">
        <is>
          <t>Totals</t>
        </is>
      </c>
      <c r="B68" s="4">
        <f>SUM($B39:$B67)</f>
        <v/>
      </c>
      <c r="C68" s="4">
        <f>SUM($C39:$C67)</f>
        <v/>
      </c>
      <c r="D68" s="7">
        <f>IF(B68=0, "N/A", (C68-B68)/B68)</f>
        <v/>
      </c>
      <c r="E68" s="4">
        <f>SUM($E39:$E67)</f>
        <v/>
      </c>
      <c r="F68" s="4">
        <f>SUM($F39:$F67)</f>
        <v/>
      </c>
      <c r="G68" s="7">
        <f>IF(E68=0, "N/A", (F68-E68)/E68)</f>
        <v/>
      </c>
      <c r="H68" s="4">
        <f>SUM($H39:$H67)</f>
        <v/>
      </c>
      <c r="I68" s="4">
        <f>SUM($I39:$I67)</f>
        <v/>
      </c>
      <c r="J68" s="7">
        <f>IF(H68=0, "N/A", (I68-H68)/H68)</f>
        <v/>
      </c>
      <c r="K68" s="4">
        <f>SUM($K39:$K67)</f>
        <v/>
      </c>
      <c r="L68" s="4">
        <f>SUM($L39:$L67)</f>
        <v/>
      </c>
      <c r="M68" s="7">
        <f>IF(K68=0, "N/A", (L68-K68)/K68)</f>
        <v/>
      </c>
    </row>
    <row r="71">
      <c r="A71" s="1" t="inlineStr">
        <is>
          <t>YoY Units Sold Comparison - Branch Group 2</t>
        </is>
      </c>
    </row>
    <row r="72">
      <c r="B72" s="1" t="inlineStr">
        <is>
          <t>VIRREYES</t>
        </is>
      </c>
      <c r="C72" s="1" t="n"/>
      <c r="D72" s="1" t="n"/>
    </row>
    <row r="73">
      <c r="A73" s="1" t="inlineStr">
        <is>
          <t>Familias</t>
        </is>
      </c>
      <c r="B73" s="1" t="n">
        <v>2025</v>
      </c>
      <c r="C73" s="1" t="n">
        <v>2026</v>
      </c>
      <c r="D73" s="1" t="inlineStr">
        <is>
          <t>%</t>
        </is>
      </c>
    </row>
    <row r="74">
      <c r="A74" s="2" t="inlineStr">
        <is>
          <t>Accesorios</t>
        </is>
      </c>
      <c r="B74" s="3" t="n">
        <v>32</v>
      </c>
      <c r="C74" s="3" t="n">
        <v>12</v>
      </c>
      <c r="D74" s="6">
        <f>IF(B74=0, "N/A", (C74-B74)/B74)</f>
        <v/>
      </c>
    </row>
    <row r="75">
      <c r="A75" s="2" t="inlineStr">
        <is>
          <t>Bermudas</t>
        </is>
      </c>
      <c r="B75" s="3" t="n">
        <v>12</v>
      </c>
      <c r="C75" s="3" t="n">
        <v>17</v>
      </c>
      <c r="D75" s="6">
        <f>IF(B75=0, "N/A", (C75-B75)/B75)</f>
        <v/>
      </c>
    </row>
    <row r="76">
      <c r="A76" s="2" t="inlineStr">
        <is>
          <t>Boxer</t>
        </is>
      </c>
      <c r="B76" s="3" t="n">
        <v>21</v>
      </c>
      <c r="C76" s="3" t="n">
        <v>20</v>
      </c>
      <c r="D76" s="6">
        <f>IF(B76=0, "N/A", (C76-B76)/B76)</f>
        <v/>
      </c>
    </row>
    <row r="77">
      <c r="A77" s="2" t="inlineStr">
        <is>
          <t>Buzo Cuello Redondo</t>
        </is>
      </c>
      <c r="B77" s="3" t="n">
        <v>67</v>
      </c>
      <c r="C77" s="3" t="n">
        <v>13</v>
      </c>
      <c r="D77" s="6">
        <f>IF(B77=0, "N/A", (C77-B77)/B77)</f>
        <v/>
      </c>
    </row>
    <row r="78">
      <c r="A78" s="2" t="inlineStr">
        <is>
          <t>Buzos C Capucha</t>
        </is>
      </c>
      <c r="B78" s="3" t="n">
        <v>105</v>
      </c>
      <c r="C78" s="3" t="n">
        <v>33</v>
      </c>
      <c r="D78" s="6">
        <f>IF(B78=0, "N/A", (C78-B78)/B78)</f>
        <v/>
      </c>
    </row>
    <row r="79">
      <c r="A79" s="2" t="inlineStr">
        <is>
          <t>Buzos C Capucha Orangutan</t>
        </is>
      </c>
      <c r="B79" s="3" t="n"/>
      <c r="C79" s="3" t="n">
        <v>29</v>
      </c>
      <c r="D79" s="6">
        <f>IF(B79=0, "N/A", (C79-B79)/B79)</f>
        <v/>
      </c>
    </row>
    <row r="80">
      <c r="A80" s="2" t="inlineStr">
        <is>
          <t>Buzos C Redondo Orangutan</t>
        </is>
      </c>
      <c r="B80" s="3" t="n"/>
      <c r="C80" s="3" t="n">
        <v>15</v>
      </c>
      <c r="D80" s="6">
        <f>IF(B80=0, "N/A", (C80-B80)/B80)</f>
        <v/>
      </c>
    </row>
    <row r="81">
      <c r="A81" s="2" t="inlineStr">
        <is>
          <t>Buzos Medio Cierre</t>
        </is>
      </c>
      <c r="B81" s="3" t="n">
        <v>7</v>
      </c>
      <c r="C81" s="3" t="n"/>
      <c r="D81" s="6">
        <f>IF(B81=0, "N/A", (C81-B81)/B81)</f>
        <v/>
      </c>
    </row>
    <row r="82">
      <c r="A82" s="2" t="inlineStr">
        <is>
          <t>Calzado</t>
        </is>
      </c>
      <c r="B82" s="3" t="n">
        <v>15</v>
      </c>
      <c r="C82" s="3" t="n">
        <v>2</v>
      </c>
      <c r="D82" s="6">
        <f>IF(B82=0, "N/A", (C82-B82)/B82)</f>
        <v/>
      </c>
    </row>
    <row r="83">
      <c r="A83" s="2" t="inlineStr">
        <is>
          <t>Camisas</t>
        </is>
      </c>
      <c r="B83" s="3" t="n">
        <v>5</v>
      </c>
      <c r="C83" s="3" t="n"/>
      <c r="D83" s="6">
        <f>IF(B83=0, "N/A", (C83-B83)/B83)</f>
        <v/>
      </c>
    </row>
    <row r="84">
      <c r="A84" s="2" t="inlineStr">
        <is>
          <t>Camisetas Manga Larga</t>
        </is>
      </c>
      <c r="B84" s="3" t="n">
        <v>39</v>
      </c>
      <c r="C84" s="3" t="n"/>
      <c r="D84" s="6">
        <f>IF(B84=0, "N/A", (C84-B84)/B84)</f>
        <v/>
      </c>
    </row>
    <row r="85">
      <c r="A85" s="2" t="inlineStr">
        <is>
          <t>Camisetas Manga Larga Orangutan</t>
        </is>
      </c>
      <c r="B85" s="3" t="n"/>
      <c r="C85" s="3" t="n">
        <v>9</v>
      </c>
      <c r="D85" s="6">
        <f>IF(B85=0, "N/A", (C85-B85)/B85)</f>
        <v/>
      </c>
    </row>
    <row r="86">
      <c r="A86" s="2" t="inlineStr">
        <is>
          <t>Campera S Capucha</t>
        </is>
      </c>
      <c r="B86" s="3" t="n">
        <v>1</v>
      </c>
      <c r="C86" s="3" t="n">
        <v>1</v>
      </c>
      <c r="D86" s="6">
        <f>IF(B86=0, "N/A", (C86-B86)/B86)</f>
        <v/>
      </c>
    </row>
    <row r="87">
      <c r="A87" s="2" t="inlineStr">
        <is>
          <t>Camperas Capucha</t>
        </is>
      </c>
      <c r="B87" s="3" t="n">
        <v>28</v>
      </c>
      <c r="C87" s="3" t="n">
        <v>18</v>
      </c>
      <c r="D87" s="6">
        <f>IF(B87=0, "N/A", (C87-B87)/B87)</f>
        <v/>
      </c>
    </row>
    <row r="88">
      <c r="A88" s="2" t="inlineStr">
        <is>
          <t>Camperas De Abrigo</t>
        </is>
      </c>
      <c r="B88" s="3" t="n">
        <v>28</v>
      </c>
      <c r="C88" s="3" t="n">
        <v>11</v>
      </c>
      <c r="D88" s="6">
        <f>IF(B88=0, "N/A", (C88-B88)/B88)</f>
        <v/>
      </c>
    </row>
    <row r="89">
      <c r="A89" s="2" t="inlineStr">
        <is>
          <t>Chombas</t>
        </is>
      </c>
      <c r="B89" s="3" t="n">
        <v>4</v>
      </c>
      <c r="C89" s="3" t="n">
        <v>5</v>
      </c>
      <c r="D89" s="6">
        <f>IF(B89=0, "N/A", (C89-B89)/B89)</f>
        <v/>
      </c>
    </row>
    <row r="90">
      <c r="A90" s="2" t="inlineStr">
        <is>
          <t>Chombas Manga Larga</t>
        </is>
      </c>
      <c r="B90" s="3" t="n"/>
      <c r="C90" s="3" t="n">
        <v>2</v>
      </c>
      <c r="D90" s="6">
        <f>IF(B90=0, "N/A", (C90-B90)/B90)</f>
        <v/>
      </c>
    </row>
    <row r="91">
      <c r="A91" s="2" t="inlineStr">
        <is>
          <t>Detroit</t>
        </is>
      </c>
      <c r="B91" s="3" t="n"/>
      <c r="C91" s="3" t="n">
        <v>1</v>
      </c>
      <c r="D91" s="6">
        <f>IF(B91=0, "N/A", (C91-B91)/B91)</f>
        <v/>
      </c>
    </row>
    <row r="92">
      <c r="A92" s="2" t="inlineStr">
        <is>
          <t>Jeans</t>
        </is>
      </c>
      <c r="B92" s="3" t="n">
        <v>69</v>
      </c>
      <c r="C92" s="3" t="n">
        <v>80</v>
      </c>
      <c r="D92" s="6">
        <f>IF(B92=0, "N/A", (C92-B92)/B92)</f>
        <v/>
      </c>
    </row>
    <row r="93">
      <c r="A93" s="2" t="inlineStr">
        <is>
          <t>Jogging</t>
        </is>
      </c>
      <c r="B93" s="3" t="n">
        <v>33</v>
      </c>
      <c r="C93" s="3" t="n">
        <v>24</v>
      </c>
      <c r="D93" s="6">
        <f>IF(B93=0, "N/A", (C93-B93)/B93)</f>
        <v/>
      </c>
    </row>
    <row r="94">
      <c r="A94" s="2" t="inlineStr">
        <is>
          <t>Jogging Corto</t>
        </is>
      </c>
      <c r="B94" s="3" t="n">
        <v>5</v>
      </c>
      <c r="C94" s="3" t="n">
        <v>4</v>
      </c>
      <c r="D94" s="6">
        <f>IF(B94=0, "N/A", (C94-B94)/B94)</f>
        <v/>
      </c>
    </row>
    <row r="95">
      <c r="A95" s="2" t="inlineStr">
        <is>
          <t>Musculosas</t>
        </is>
      </c>
      <c r="B95" s="3" t="n">
        <v>9</v>
      </c>
      <c r="C95" s="3" t="n">
        <v>4</v>
      </c>
      <c r="D95" s="6">
        <f>IF(B95=0, "N/A", (C95-B95)/B95)</f>
        <v/>
      </c>
    </row>
    <row r="96">
      <c r="A96" s="2" t="inlineStr">
        <is>
          <t>Otro</t>
        </is>
      </c>
      <c r="B96" s="3" t="n">
        <v>9</v>
      </c>
      <c r="C96" s="3" t="n">
        <v>2</v>
      </c>
      <c r="D96" s="6">
        <f>IF(B96=0, "N/A", (C96-B96)/B96)</f>
        <v/>
      </c>
    </row>
    <row r="97">
      <c r="A97" s="2" t="inlineStr">
        <is>
          <t>Remeras</t>
        </is>
      </c>
      <c r="B97" s="3" t="n">
        <v>321</v>
      </c>
      <c r="C97" s="3" t="n">
        <v>195</v>
      </c>
      <c r="D97" s="6">
        <f>IF(B97=0, "N/A", (C97-B97)/B97)</f>
        <v/>
      </c>
    </row>
    <row r="98">
      <c r="A98" s="2" t="inlineStr">
        <is>
          <t>Sweaters</t>
        </is>
      </c>
      <c r="B98" s="3" t="n">
        <v>15</v>
      </c>
      <c r="C98" s="3" t="n">
        <v>3</v>
      </c>
      <c r="D98" s="6">
        <f>IF(B98=0, "N/A", (C98-B98)/B98)</f>
        <v/>
      </c>
    </row>
    <row r="99">
      <c r="A99" s="2" t="inlineStr">
        <is>
          <t>Trajes De Baño</t>
        </is>
      </c>
      <c r="B99" s="3" t="n">
        <v>9</v>
      </c>
      <c r="C99" s="3" t="n">
        <v>12</v>
      </c>
      <c r="D99" s="6">
        <f>IF(B99=0, "N/A", (C99-B99)/B99)</f>
        <v/>
      </c>
    </row>
    <row r="100">
      <c r="A100" s="5" t="inlineStr">
        <is>
          <t>Totals</t>
        </is>
      </c>
      <c r="B100" s="4">
        <f>SUM($B74:$B99)</f>
        <v/>
      </c>
      <c r="C100" s="4">
        <f>SUM($C74:$C99)</f>
        <v/>
      </c>
      <c r="D100" s="7">
        <f>IF(B100=0, "N/A", (C100-B100)/B100)</f>
        <v/>
      </c>
    </row>
    <row r="103">
      <c r="A103" s="1" t="inlineStr">
        <is>
          <t>Sales Amount from January 01, 2026 to August 12, 2026</t>
        </is>
      </c>
    </row>
    <row r="104">
      <c r="A104" s="1" t="inlineStr">
        <is>
          <t>Familias</t>
        </is>
      </c>
      <c r="B104" s="1" t="inlineStr">
        <is>
          <t>LIBERT.R</t>
        </is>
      </c>
      <c r="C104" s="1" t="inlineStr">
        <is>
          <t>PASO.R</t>
        </is>
      </c>
      <c r="D104" s="1" t="inlineStr">
        <is>
          <t>P.OESTE</t>
        </is>
      </c>
      <c r="E104" s="1" t="inlineStr">
        <is>
          <t>VIRREYES</t>
        </is>
      </c>
      <c r="F104" s="1" t="inlineStr">
        <is>
          <t>Totals</t>
        </is>
      </c>
    </row>
    <row r="105">
      <c r="A105" s="2" t="inlineStr">
        <is>
          <t>Accesorios</t>
        </is>
      </c>
      <c r="B105" s="8" t="n">
        <v>2400348.2672</v>
      </c>
      <c r="C105" s="8" t="n">
        <v>4367214.4614</v>
      </c>
      <c r="D105" s="8" t="n">
        <v>9087637.1251</v>
      </c>
      <c r="E105" s="8" t="n">
        <v>243496.1013</v>
      </c>
      <c r="F105" s="9">
        <f>B105+C105+D105+E105</f>
        <v/>
      </c>
    </row>
    <row r="106">
      <c r="A106" s="2" t="inlineStr">
        <is>
          <t>Bermudas</t>
        </is>
      </c>
      <c r="B106" s="8" t="n">
        <v>1590508.0078</v>
      </c>
      <c r="C106" s="8" t="n">
        <v>3541223.7088</v>
      </c>
      <c r="D106" s="8" t="n">
        <v>9728820.024</v>
      </c>
      <c r="E106" s="8" t="n">
        <v>692505.0005</v>
      </c>
      <c r="F106" s="9">
        <f>B106+C106+D106+E106</f>
        <v/>
      </c>
    </row>
    <row r="107">
      <c r="A107" s="2" t="inlineStr">
        <is>
          <t>Boxer</t>
        </is>
      </c>
      <c r="B107" s="8" t="n">
        <v>1253450.927</v>
      </c>
      <c r="C107" s="8" t="n">
        <v>2043174.8199</v>
      </c>
      <c r="D107" s="8" t="n">
        <v>9334775.4682</v>
      </c>
      <c r="E107" s="8" t="n">
        <v>285650.0008</v>
      </c>
      <c r="F107" s="9">
        <f>B107+C107+D107+E107</f>
        <v/>
      </c>
    </row>
    <row r="108">
      <c r="A108" s="2" t="inlineStr">
        <is>
          <t>Buzo C Capucha Rustico</t>
        </is>
      </c>
      <c r="B108" s="8" t="n"/>
      <c r="C108" s="8" t="n"/>
      <c r="D108" s="8" t="n">
        <v>897612.5361</v>
      </c>
      <c r="E108" s="8" t="n"/>
      <c r="F108" s="9">
        <f>B108+C108+D108+E108</f>
        <v/>
      </c>
    </row>
    <row r="109">
      <c r="A109" s="2" t="inlineStr">
        <is>
          <t>Buzo Cuello Redondo</t>
        </is>
      </c>
      <c r="B109" s="8" t="n">
        <v>10204745.8558</v>
      </c>
      <c r="C109" s="8" t="n">
        <v>17140272.3458</v>
      </c>
      <c r="D109" s="8" t="n">
        <v>55251737.7084</v>
      </c>
      <c r="E109" s="8" t="n">
        <v>463599.9974</v>
      </c>
      <c r="F109" s="9">
        <f>B109+C109+D109+E109</f>
        <v/>
      </c>
    </row>
    <row r="110">
      <c r="A110" s="2" t="inlineStr">
        <is>
          <t>Buzos C Capucha</t>
        </is>
      </c>
      <c r="B110" s="8" t="n">
        <v>11382963.9496</v>
      </c>
      <c r="C110" s="8" t="n">
        <v>12656551.8553</v>
      </c>
      <c r="D110" s="8" t="n">
        <v>40501341.0298</v>
      </c>
      <c r="E110" s="8" t="n">
        <v>1479200.0031</v>
      </c>
      <c r="F110" s="9">
        <f>B110+C110+D110+E110</f>
        <v/>
      </c>
    </row>
    <row r="111">
      <c r="A111" s="2" t="inlineStr">
        <is>
          <t>Buzos C Capucha Orangutan</t>
        </is>
      </c>
      <c r="B111" s="8" t="n">
        <v>2373445.4579</v>
      </c>
      <c r="C111" s="8" t="n">
        <v>3295049.1807</v>
      </c>
      <c r="D111" s="8" t="n">
        <v>13059912.7428</v>
      </c>
      <c r="E111" s="8" t="n">
        <v>1377239.9971</v>
      </c>
      <c r="F111" s="9">
        <f>B111+C111+D111+E111</f>
        <v/>
      </c>
    </row>
    <row r="112">
      <c r="A112" s="2" t="inlineStr">
        <is>
          <t>Buzos C Redondo Orangutan</t>
        </is>
      </c>
      <c r="B112" s="8" t="n">
        <v>2369935.6397</v>
      </c>
      <c r="C112" s="8" t="n">
        <v>3153441.2994</v>
      </c>
      <c r="D112" s="8" t="n">
        <v>9557748.638800001</v>
      </c>
      <c r="E112" s="8" t="n">
        <v>550939.9978</v>
      </c>
      <c r="F112" s="9">
        <f>B112+C112+D112+E112</f>
        <v/>
      </c>
    </row>
    <row r="113">
      <c r="A113" s="2" t="inlineStr">
        <is>
          <t>Buzos C Redondo Rustico</t>
        </is>
      </c>
      <c r="B113" s="8" t="n"/>
      <c r="C113" s="8" t="n"/>
      <c r="D113" s="8" t="n">
        <v>184600</v>
      </c>
      <c r="E113" s="8" t="n"/>
      <c r="F113" s="9">
        <f>B113+C113+D113+E113</f>
        <v/>
      </c>
    </row>
    <row r="114">
      <c r="A114" s="2" t="inlineStr">
        <is>
          <t>Buzos Medio Cierre</t>
        </is>
      </c>
      <c r="B114" s="8" t="n">
        <v>3201807.4176</v>
      </c>
      <c r="C114" s="8" t="n">
        <v>2959283.8389</v>
      </c>
      <c r="D114" s="8" t="n">
        <v>10150152.8412</v>
      </c>
      <c r="E114" s="8" t="n"/>
      <c r="F114" s="9">
        <f>B114+C114+D114+E114</f>
        <v/>
      </c>
    </row>
    <row r="115">
      <c r="A115" s="2" t="inlineStr">
        <is>
          <t>Calzado</t>
        </is>
      </c>
      <c r="B115" s="8" t="n">
        <v>217798.3348</v>
      </c>
      <c r="C115" s="8" t="n">
        <v>197880</v>
      </c>
      <c r="D115" s="8" t="n">
        <v>340170</v>
      </c>
      <c r="E115" s="8" t="n">
        <v>40200</v>
      </c>
      <c r="F115" s="9">
        <f>B115+C115+D115+E115</f>
        <v/>
      </c>
    </row>
    <row r="116">
      <c r="A116" s="2" t="inlineStr">
        <is>
          <t>Camisas</t>
        </is>
      </c>
      <c r="B116" s="8" t="n">
        <v>1050952.7174</v>
      </c>
      <c r="C116" s="8" t="n">
        <v>1380087.6378</v>
      </c>
      <c r="D116" s="8" t="n">
        <v>1947633.1155</v>
      </c>
      <c r="E116" s="8" t="n"/>
      <c r="F116" s="9">
        <f>B116+C116+D116+E116</f>
        <v/>
      </c>
    </row>
    <row r="117">
      <c r="A117" s="2" t="inlineStr">
        <is>
          <t>Camisetas Manga Larga</t>
        </is>
      </c>
      <c r="B117" s="8" t="n">
        <v>5330634.1012</v>
      </c>
      <c r="C117" s="8" t="n">
        <v>7757904.4185</v>
      </c>
      <c r="D117" s="8" t="n">
        <v>9784589.944399999</v>
      </c>
      <c r="E117" s="8" t="n"/>
      <c r="F117" s="9">
        <f>B117+C117+D117+E117</f>
        <v/>
      </c>
    </row>
    <row r="118">
      <c r="A118" s="2" t="inlineStr">
        <is>
          <t>Camisetas Manga Larga Orangutan</t>
        </is>
      </c>
      <c r="B118" s="8" t="n">
        <v>643867.2738</v>
      </c>
      <c r="C118" s="8" t="n">
        <v>897147.5096</v>
      </c>
      <c r="D118" s="8" t="n">
        <v>7025641.3471</v>
      </c>
      <c r="E118" s="8" t="n">
        <v>173120</v>
      </c>
      <c r="F118" s="9">
        <f>B118+C118+D118+E118</f>
        <v/>
      </c>
    </row>
    <row r="119">
      <c r="A119" s="2" t="inlineStr">
        <is>
          <t>Campera Capucha Rustico</t>
        </is>
      </c>
      <c r="B119" s="8" t="n"/>
      <c r="C119" s="8" t="n"/>
      <c r="D119" s="8" t="n">
        <v>303860.2804</v>
      </c>
      <c r="E119" s="8" t="n"/>
      <c r="F119" s="9">
        <f>B119+C119+D119+E119</f>
        <v/>
      </c>
    </row>
    <row r="120">
      <c r="A120" s="2" t="inlineStr">
        <is>
          <t>Campera S Capucha</t>
        </is>
      </c>
      <c r="B120" s="8" t="n">
        <v>794010.0019</v>
      </c>
      <c r="C120" s="8" t="n">
        <v>917000</v>
      </c>
      <c r="D120" s="8" t="n">
        <v>8046587.4049</v>
      </c>
      <c r="E120" s="8" t="n">
        <v>36900</v>
      </c>
      <c r="F120" s="9">
        <f>B120+C120+D120+E120</f>
        <v/>
      </c>
    </row>
    <row r="121">
      <c r="A121" s="2" t="inlineStr">
        <is>
          <t>Camperas Capucha</t>
        </is>
      </c>
      <c r="B121" s="8" t="n">
        <v>9378345.0244</v>
      </c>
      <c r="C121" s="8" t="n">
        <v>11425688.9394</v>
      </c>
      <c r="D121" s="8" t="n">
        <v>34325808.3914</v>
      </c>
      <c r="E121" s="8" t="n">
        <v>896340</v>
      </c>
      <c r="F121" s="9">
        <f>B121+C121+D121+E121</f>
        <v/>
      </c>
    </row>
    <row r="122">
      <c r="A122" s="2" t="inlineStr">
        <is>
          <t>Camperas De Abrigo</t>
        </is>
      </c>
      <c r="B122" s="8" t="n">
        <v>6031747.6483</v>
      </c>
      <c r="C122" s="8" t="n">
        <v>5251974.7526</v>
      </c>
      <c r="D122" s="8" t="n">
        <v>15061231.8557</v>
      </c>
      <c r="E122" s="8" t="n">
        <v>649239.9979</v>
      </c>
      <c r="F122" s="9">
        <f>B122+C122+D122+E122</f>
        <v/>
      </c>
    </row>
    <row r="123">
      <c r="A123" s="2" t="inlineStr">
        <is>
          <t>Chombas</t>
        </is>
      </c>
      <c r="B123" s="8" t="n">
        <v>2823179.4474</v>
      </c>
      <c r="C123" s="8" t="n">
        <v>4440810.1501</v>
      </c>
      <c r="D123" s="8" t="n">
        <v>7013611.8902</v>
      </c>
      <c r="E123" s="8" t="n">
        <v>129249.9987</v>
      </c>
      <c r="F123" s="9">
        <f>B123+C123+D123+E123</f>
        <v/>
      </c>
    </row>
    <row r="124">
      <c r="A124" s="2" t="inlineStr">
        <is>
          <t>Chombas Manga Larga</t>
        </is>
      </c>
      <c r="B124" s="8" t="n">
        <v>2337071.2663</v>
      </c>
      <c r="C124" s="8" t="n">
        <v>3077011.9005</v>
      </c>
      <c r="D124" s="8" t="n">
        <v>546604.4366</v>
      </c>
      <c r="E124" s="8" t="n">
        <v>56999.999</v>
      </c>
      <c r="F124" s="9">
        <f>B124+C124+D124+E124</f>
        <v/>
      </c>
    </row>
    <row r="125">
      <c r="A125" s="2" t="inlineStr">
        <is>
          <t>Detroit</t>
        </is>
      </c>
      <c r="B125" s="8" t="n"/>
      <c r="C125" s="8" t="n"/>
      <c r="D125" s="8" t="n"/>
      <c r="E125" s="8" t="n">
        <v>31410</v>
      </c>
      <c r="F125" s="9">
        <f>B125+C125+D125+E125</f>
        <v/>
      </c>
    </row>
    <row r="126">
      <c r="A126" s="2" t="inlineStr">
        <is>
          <t>Jeans</t>
        </is>
      </c>
      <c r="B126" s="8" t="n">
        <v>21925856.0021</v>
      </c>
      <c r="C126" s="8" t="n">
        <v>25065987.0254</v>
      </c>
      <c r="D126" s="8" t="n">
        <v>122121119.2916</v>
      </c>
      <c r="E126" s="8" t="n">
        <v>3121031.998</v>
      </c>
      <c r="F126" s="9">
        <f>B126+C126+D126+E126</f>
        <v/>
      </c>
    </row>
    <row r="127">
      <c r="A127" s="2" t="inlineStr">
        <is>
          <t>Jeans De Segunda</t>
        </is>
      </c>
      <c r="B127" s="8" t="n">
        <v>-24057.45</v>
      </c>
      <c r="C127" s="8" t="n"/>
      <c r="D127" s="8" t="n"/>
      <c r="E127" s="8" t="n"/>
      <c r="F127" s="9">
        <f>B127+C127+D127+E127</f>
        <v/>
      </c>
    </row>
    <row r="128">
      <c r="A128" s="2" t="inlineStr">
        <is>
          <t>Jogging</t>
        </is>
      </c>
      <c r="B128" s="8" t="n">
        <v>4243787.3353</v>
      </c>
      <c r="C128" s="8" t="n">
        <v>5287002.8609</v>
      </c>
      <c r="D128" s="8" t="n">
        <v>23049045.8656</v>
      </c>
      <c r="E128" s="8" t="n">
        <v>769999.999</v>
      </c>
      <c r="F128" s="9">
        <f>B128+C128+D128+E128</f>
        <v/>
      </c>
    </row>
    <row r="129">
      <c r="A129" s="2" t="inlineStr">
        <is>
          <t>Jogging Corto</t>
        </is>
      </c>
      <c r="B129" s="8" t="n">
        <v>197500</v>
      </c>
      <c r="C129" s="8" t="n">
        <v>388254.7306</v>
      </c>
      <c r="D129" s="8" t="n">
        <v>555100</v>
      </c>
      <c r="E129" s="8" t="n">
        <v>144000</v>
      </c>
      <c r="F129" s="9">
        <f>B129+C129+D129+E129</f>
        <v/>
      </c>
    </row>
    <row r="130">
      <c r="A130" s="2" t="inlineStr">
        <is>
          <t>Musculosas</t>
        </is>
      </c>
      <c r="B130" s="8" t="n">
        <v>723197.4157</v>
      </c>
      <c r="C130" s="8" t="n">
        <v>363010.8957</v>
      </c>
      <c r="D130" s="8" t="n">
        <v>1377298.9487</v>
      </c>
      <c r="E130" s="8" t="n">
        <v>90000</v>
      </c>
      <c r="F130" s="9">
        <f>B130+C130+D130+E130</f>
        <v/>
      </c>
    </row>
    <row r="131">
      <c r="A131" s="2" t="inlineStr">
        <is>
          <t>Otro</t>
        </is>
      </c>
      <c r="B131" s="8" t="n"/>
      <c r="C131" s="8" t="n">
        <v>33000</v>
      </c>
      <c r="D131" s="8" t="n">
        <v>223600</v>
      </c>
      <c r="E131" s="8" t="n">
        <v>159420</v>
      </c>
      <c r="F131" s="9">
        <f>B131+C131+D131+E131</f>
        <v/>
      </c>
    </row>
    <row r="132">
      <c r="A132" s="2" t="inlineStr">
        <is>
          <t>Remeras</t>
        </is>
      </c>
      <c r="B132" s="8" t="n">
        <v>20986339.6961</v>
      </c>
      <c r="C132" s="8" t="n">
        <v>33469485.1461</v>
      </c>
      <c r="D132" s="8" t="n">
        <v>73362004.68619999</v>
      </c>
      <c r="E132" s="8" t="n">
        <v>3222035.0073</v>
      </c>
      <c r="F132" s="9">
        <f>B132+C132+D132+E132</f>
        <v/>
      </c>
    </row>
    <row r="133">
      <c r="A133" s="2" t="inlineStr">
        <is>
          <t>Sweaters</t>
        </is>
      </c>
      <c r="B133" s="8" t="n">
        <v>5057288.6379</v>
      </c>
      <c r="C133" s="8" t="n">
        <v>5289155.1895</v>
      </c>
      <c r="D133" s="8" t="n">
        <v>8947401.811799999</v>
      </c>
      <c r="E133" s="8" t="n">
        <v>100800.0021</v>
      </c>
      <c r="F133" s="9">
        <f>B133+C133+D133+E133</f>
        <v/>
      </c>
    </row>
    <row r="134">
      <c r="A134" s="2" t="inlineStr">
        <is>
          <t>Trajes De Baño</t>
        </is>
      </c>
      <c r="B134" s="8" t="n">
        <v>1023258.0347</v>
      </c>
      <c r="C134" s="8" t="n">
        <v>380898.8831</v>
      </c>
      <c r="D134" s="8" t="n">
        <v>3466721.2755</v>
      </c>
      <c r="E134" s="8" t="n">
        <v>313285</v>
      </c>
      <c r="F134" s="9">
        <f>B134+C134+D134+E134</f>
        <v/>
      </c>
    </row>
    <row r="135">
      <c r="A135" s="5" t="inlineStr">
        <is>
          <t>Totals</t>
        </is>
      </c>
      <c r="B135" s="9">
        <f>SUM($B$105:$B$134)</f>
        <v/>
      </c>
      <c r="C135" s="9">
        <f>SUM($C$105:$C$134)</f>
        <v/>
      </c>
      <c r="D135" s="9">
        <f>SUM($D$105:$D$134)</f>
        <v/>
      </c>
      <c r="E135" s="9">
        <f>SUM($E$105:$E$134)</f>
        <v/>
      </c>
      <c r="F135" s="9">
        <f>SUM($F$105:$F$134)</f>
        <v/>
      </c>
    </row>
    <row r="138">
      <c r="A138" s="1" t="inlineStr">
        <is>
          <t>YoY Sales Amount Comparison - Branch Group 1</t>
        </is>
      </c>
    </row>
    <row r="139">
      <c r="B139" s="1" t="inlineStr">
        <is>
          <t>LIBERT.R</t>
        </is>
      </c>
      <c r="C139" s="1" t="n"/>
      <c r="D139" s="1" t="n"/>
      <c r="E139" s="1" t="inlineStr">
        <is>
          <t>PASO.R</t>
        </is>
      </c>
      <c r="F139" s="1" t="n"/>
      <c r="G139" s="1" t="n"/>
      <c r="H139" s="1" t="inlineStr">
        <is>
          <t>P.OESTE</t>
        </is>
      </c>
      <c r="I139" s="1" t="n"/>
      <c r="J139" s="1" t="n"/>
      <c r="K139" s="1" t="inlineStr">
        <is>
          <t>Global</t>
        </is>
      </c>
      <c r="L139" s="1" t="n"/>
      <c r="M139" s="1" t="n"/>
    </row>
    <row r="140">
      <c r="A140" s="1" t="inlineStr">
        <is>
          <t>Familias</t>
        </is>
      </c>
      <c r="B140" s="1" t="n">
        <v>2025</v>
      </c>
      <c r="C140" s="1" t="n">
        <v>2026</v>
      </c>
      <c r="D140" s="1" t="inlineStr">
        <is>
          <t>%</t>
        </is>
      </c>
      <c r="E140" s="1" t="n">
        <v>2025</v>
      </c>
      <c r="F140" s="1" t="n">
        <v>2026</v>
      </c>
      <c r="G140" s="1" t="inlineStr">
        <is>
          <t>%</t>
        </is>
      </c>
      <c r="H140" s="1" t="n">
        <v>2025</v>
      </c>
      <c r="I140" s="1" t="n">
        <v>2026</v>
      </c>
      <c r="J140" s="1" t="inlineStr">
        <is>
          <t>%</t>
        </is>
      </c>
      <c r="K140" s="1" t="n">
        <v>2025</v>
      </c>
      <c r="L140" s="1" t="n">
        <v>2026</v>
      </c>
      <c r="M140" s="1" t="inlineStr">
        <is>
          <t>%</t>
        </is>
      </c>
    </row>
    <row r="141">
      <c r="A141" s="2" t="inlineStr">
        <is>
          <t>Accesorios</t>
        </is>
      </c>
      <c r="B141" s="8" t="n">
        <v>4047731.3085</v>
      </c>
      <c r="C141" s="8" t="n">
        <v>2400348.2672</v>
      </c>
      <c r="D141" s="6">
        <f>IF(B141=0, "N/A", (C141-B141)/B141)</f>
        <v/>
      </c>
      <c r="E141" s="8" t="n">
        <v>3944358.0005</v>
      </c>
      <c r="F141" s="8" t="n">
        <v>4367214.4614</v>
      </c>
      <c r="G141" s="6">
        <f>IF(E141=0, "N/A", (F141-E141)/E141)</f>
        <v/>
      </c>
      <c r="H141" s="8" t="n">
        <v>10858055.5731</v>
      </c>
      <c r="I141" s="8" t="n">
        <v>9087637.1251</v>
      </c>
      <c r="J141" s="6">
        <f>IF(H141=0, "N/A", (I141-H141)/H141)</f>
        <v/>
      </c>
      <c r="K141" s="8">
        <f>B141+E141+H141</f>
        <v/>
      </c>
      <c r="L141" s="8">
        <f>C141+F141+I141</f>
        <v/>
      </c>
      <c r="M141" s="6">
        <f>IF(K141=0, "N/A", (L141-K141)/K141)</f>
        <v/>
      </c>
    </row>
    <row r="142">
      <c r="A142" s="2" t="inlineStr">
        <is>
          <t>Bermudas</t>
        </is>
      </c>
      <c r="B142" s="8" t="n">
        <v>4135180.3632</v>
      </c>
      <c r="C142" s="8" t="n">
        <v>1590508.0078</v>
      </c>
      <c r="D142" s="6">
        <f>IF(B142=0, "N/A", (C142-B142)/B142)</f>
        <v/>
      </c>
      <c r="E142" s="8" t="n">
        <v>6138622.5826</v>
      </c>
      <c r="F142" s="8" t="n">
        <v>3541223.7088</v>
      </c>
      <c r="G142" s="6">
        <f>IF(E142=0, "N/A", (F142-E142)/E142)</f>
        <v/>
      </c>
      <c r="H142" s="8" t="n">
        <v>10828465.0484</v>
      </c>
      <c r="I142" s="8" t="n">
        <v>9728820.024</v>
      </c>
      <c r="J142" s="6">
        <f>IF(H142=0, "N/A", (I142-H142)/H142)</f>
        <v/>
      </c>
      <c r="K142" s="8">
        <f>B142+E142+H142</f>
        <v/>
      </c>
      <c r="L142" s="8">
        <f>C142+F142+I142</f>
        <v/>
      </c>
      <c r="M142" s="6">
        <f>IF(K142=0, "N/A", (L142-K142)/K142)</f>
        <v/>
      </c>
    </row>
    <row r="143">
      <c r="A143" s="2" t="inlineStr">
        <is>
          <t>Boxer</t>
        </is>
      </c>
      <c r="B143" s="8" t="n">
        <v>1403162.9107</v>
      </c>
      <c r="C143" s="8" t="n">
        <v>1253450.927</v>
      </c>
      <c r="D143" s="6">
        <f>IF(B143=0, "N/A", (C143-B143)/B143)</f>
        <v/>
      </c>
      <c r="E143" s="8" t="n">
        <v>2150691.7662</v>
      </c>
      <c r="F143" s="8" t="n">
        <v>2043174.8199</v>
      </c>
      <c r="G143" s="6">
        <f>IF(E143=0, "N/A", (F143-E143)/E143)</f>
        <v/>
      </c>
      <c r="H143" s="8" t="n">
        <v>7091149.4651</v>
      </c>
      <c r="I143" s="8" t="n">
        <v>9334775.4682</v>
      </c>
      <c r="J143" s="6">
        <f>IF(H143=0, "N/A", (I143-H143)/H143)</f>
        <v/>
      </c>
      <c r="K143" s="8">
        <f>B143+E143+H143</f>
        <v/>
      </c>
      <c r="L143" s="8">
        <f>C143+F143+I143</f>
        <v/>
      </c>
      <c r="M143" s="6">
        <f>IF(K143=0, "N/A", (L143-K143)/K143)</f>
        <v/>
      </c>
    </row>
    <row r="144">
      <c r="A144" s="2" t="inlineStr">
        <is>
          <t>Buzo C Capucha Rustico</t>
        </is>
      </c>
      <c r="B144" s="8" t="n">
        <v>81317.4246</v>
      </c>
      <c r="C144" s="8" t="n"/>
      <c r="D144" s="6">
        <f>IF(B144=0, "N/A", (C144-B144)/B144)</f>
        <v/>
      </c>
      <c r="E144" s="8" t="n">
        <v>47881.5866</v>
      </c>
      <c r="F144" s="8" t="n"/>
      <c r="G144" s="6">
        <f>IF(E144=0, "N/A", (F144-E144)/E144)</f>
        <v/>
      </c>
      <c r="H144" s="8" t="n">
        <v>112000</v>
      </c>
      <c r="I144" s="8" t="n">
        <v>897612.5361</v>
      </c>
      <c r="J144" s="6">
        <f>IF(H144=0, "N/A", (I144-H144)/H144)</f>
        <v/>
      </c>
      <c r="K144" s="8">
        <f>B144+E144+H144</f>
        <v/>
      </c>
      <c r="L144" s="8">
        <f>C144+F144+I144</f>
        <v/>
      </c>
      <c r="M144" s="6">
        <f>IF(K144=0, "N/A", (L144-K144)/K144)</f>
        <v/>
      </c>
    </row>
    <row r="145">
      <c r="A145" s="2" t="inlineStr">
        <is>
          <t>Buzo Cuello Redondo</t>
        </is>
      </c>
      <c r="B145" s="8" t="n">
        <v>16700165.6979</v>
      </c>
      <c r="C145" s="8" t="n">
        <v>10204745.8558</v>
      </c>
      <c r="D145" s="6">
        <f>IF(B145=0, "N/A", (C145-B145)/B145)</f>
        <v/>
      </c>
      <c r="E145" s="8" t="n">
        <v>20918374.3304</v>
      </c>
      <c r="F145" s="8" t="n">
        <v>17140272.3458</v>
      </c>
      <c r="G145" s="6">
        <f>IF(E145=0, "N/A", (F145-E145)/E145)</f>
        <v/>
      </c>
      <c r="H145" s="8" t="n">
        <v>43242950.9415</v>
      </c>
      <c r="I145" s="8" t="n">
        <v>55251737.7084</v>
      </c>
      <c r="J145" s="6">
        <f>IF(H145=0, "N/A", (I145-H145)/H145)</f>
        <v/>
      </c>
      <c r="K145" s="8">
        <f>B145+E145+H145</f>
        <v/>
      </c>
      <c r="L145" s="8">
        <f>C145+F145+I145</f>
        <v/>
      </c>
      <c r="M145" s="6">
        <f>IF(K145=0, "N/A", (L145-K145)/K145)</f>
        <v/>
      </c>
    </row>
    <row r="146">
      <c r="A146" s="2" t="inlineStr">
        <is>
          <t>Buzos C Capucha</t>
        </is>
      </c>
      <c r="B146" s="8" t="n">
        <v>16454205.423</v>
      </c>
      <c r="C146" s="8" t="n">
        <v>11382963.9496</v>
      </c>
      <c r="D146" s="6">
        <f>IF(B146=0, "N/A", (C146-B146)/B146)</f>
        <v/>
      </c>
      <c r="E146" s="8" t="n">
        <v>16851939.7916</v>
      </c>
      <c r="F146" s="8" t="n">
        <v>12656551.8553</v>
      </c>
      <c r="G146" s="6">
        <f>IF(E146=0, "N/A", (F146-E146)/E146)</f>
        <v/>
      </c>
      <c r="H146" s="8" t="n">
        <v>56958578.2742</v>
      </c>
      <c r="I146" s="8" t="n">
        <v>40501341.0298</v>
      </c>
      <c r="J146" s="6">
        <f>IF(H146=0, "N/A", (I146-H146)/H146)</f>
        <v/>
      </c>
      <c r="K146" s="8">
        <f>B146+E146+H146</f>
        <v/>
      </c>
      <c r="L146" s="8">
        <f>C146+F146+I146</f>
        <v/>
      </c>
      <c r="M146" s="6">
        <f>IF(K146=0, "N/A", (L146-K146)/K146)</f>
        <v/>
      </c>
    </row>
    <row r="147">
      <c r="A147" s="2" t="inlineStr">
        <is>
          <t>Buzos C Capucha Orangutan</t>
        </is>
      </c>
      <c r="B147" s="8" t="n"/>
      <c r="C147" s="8" t="n">
        <v>2373445.4579</v>
      </c>
      <c r="D147" s="6">
        <f>IF(B147=0, "N/A", (C147-B147)/B147)</f>
        <v/>
      </c>
      <c r="E147" s="8" t="n"/>
      <c r="F147" s="8" t="n">
        <v>3295049.1807</v>
      </c>
      <c r="G147" s="6">
        <f>IF(E147=0, "N/A", (F147-E147)/E147)</f>
        <v/>
      </c>
      <c r="H147" s="8" t="n"/>
      <c r="I147" s="8" t="n">
        <v>13059912.7428</v>
      </c>
      <c r="J147" s="6">
        <f>IF(H147=0, "N/A", (I147-H147)/H147)</f>
        <v/>
      </c>
      <c r="K147" s="8">
        <f>B147+E147+H147</f>
        <v/>
      </c>
      <c r="L147" s="8">
        <f>C147+F147+I147</f>
        <v/>
      </c>
      <c r="M147" s="6">
        <f>IF(K147=0, "N/A", (L147-K147)/K147)</f>
        <v/>
      </c>
    </row>
    <row r="148">
      <c r="A148" s="2" t="inlineStr">
        <is>
          <t>Buzos C Redondo Orangutan</t>
        </is>
      </c>
      <c r="B148" s="8" t="n"/>
      <c r="C148" s="8" t="n">
        <v>2369935.6397</v>
      </c>
      <c r="D148" s="6">
        <f>IF(B148=0, "N/A", (C148-B148)/B148)</f>
        <v/>
      </c>
      <c r="E148" s="8" t="n"/>
      <c r="F148" s="8" t="n">
        <v>3153441.2994</v>
      </c>
      <c r="G148" s="6">
        <f>IF(E148=0, "N/A", (F148-E148)/E148)</f>
        <v/>
      </c>
      <c r="H148" s="8" t="n"/>
      <c r="I148" s="8" t="n">
        <v>9557748.638800001</v>
      </c>
      <c r="J148" s="6">
        <f>IF(H148=0, "N/A", (I148-H148)/H148)</f>
        <v/>
      </c>
      <c r="K148" s="8">
        <f>B148+E148+H148</f>
        <v/>
      </c>
      <c r="L148" s="8">
        <f>C148+F148+I148</f>
        <v/>
      </c>
      <c r="M148" s="6">
        <f>IF(K148=0, "N/A", (L148-K148)/K148)</f>
        <v/>
      </c>
    </row>
    <row r="149">
      <c r="A149" s="2" t="inlineStr">
        <is>
          <t>Buzos C Redondo Rustico</t>
        </is>
      </c>
      <c r="B149" s="8" t="n">
        <v>279498</v>
      </c>
      <c r="C149" s="8" t="n"/>
      <c r="D149" s="6">
        <f>IF(B149=0, "N/A", (C149-B149)/B149)</f>
        <v/>
      </c>
      <c r="E149" s="8" t="n">
        <v>79899</v>
      </c>
      <c r="F149" s="8" t="n"/>
      <c r="G149" s="6">
        <f>IF(E149=0, "N/A", (F149-E149)/E149)</f>
        <v/>
      </c>
      <c r="H149" s="8" t="n">
        <v>311500</v>
      </c>
      <c r="I149" s="8" t="n">
        <v>184600</v>
      </c>
      <c r="J149" s="6">
        <f>IF(H149=0, "N/A", (I149-H149)/H149)</f>
        <v/>
      </c>
      <c r="K149" s="8">
        <f>B149+E149+H149</f>
        <v/>
      </c>
      <c r="L149" s="8">
        <f>C149+F149+I149</f>
        <v/>
      </c>
      <c r="M149" s="6">
        <f>IF(K149=0, "N/A", (L149-K149)/K149)</f>
        <v/>
      </c>
    </row>
    <row r="150">
      <c r="A150" s="2" t="inlineStr">
        <is>
          <t>Buzos Medio Cierre</t>
        </is>
      </c>
      <c r="B150" s="8" t="n">
        <v>1673824.4424</v>
      </c>
      <c r="C150" s="8" t="n">
        <v>3201807.4176</v>
      </c>
      <c r="D150" s="6">
        <f>IF(B150=0, "N/A", (C150-B150)/B150)</f>
        <v/>
      </c>
      <c r="E150" s="8" t="n">
        <v>1548396.7405</v>
      </c>
      <c r="F150" s="8" t="n">
        <v>2959283.8389</v>
      </c>
      <c r="G150" s="6">
        <f>IF(E150=0, "N/A", (F150-E150)/E150)</f>
        <v/>
      </c>
      <c r="H150" s="8" t="n">
        <v>17422258.0848</v>
      </c>
      <c r="I150" s="8" t="n">
        <v>10150152.8412</v>
      </c>
      <c r="J150" s="6">
        <f>IF(H150=0, "N/A", (I150-H150)/H150)</f>
        <v/>
      </c>
      <c r="K150" s="8">
        <f>B150+E150+H150</f>
        <v/>
      </c>
      <c r="L150" s="8">
        <f>C150+F150+I150</f>
        <v/>
      </c>
      <c r="M150" s="6">
        <f>IF(K150=0, "N/A", (L150-K150)/K150)</f>
        <v/>
      </c>
    </row>
    <row r="151">
      <c r="A151" s="2" t="inlineStr">
        <is>
          <t>Calzado</t>
        </is>
      </c>
      <c r="B151" s="8" t="n">
        <v>518341.1962</v>
      </c>
      <c r="C151" s="8" t="n">
        <v>217798.3348</v>
      </c>
      <c r="D151" s="6">
        <f>IF(B151=0, "N/A", (C151-B151)/B151)</f>
        <v/>
      </c>
      <c r="E151" s="8" t="n">
        <v>443742.1418</v>
      </c>
      <c r="F151" s="8" t="n">
        <v>197880</v>
      </c>
      <c r="G151" s="6">
        <f>IF(E151=0, "N/A", (F151-E151)/E151)</f>
        <v/>
      </c>
      <c r="H151" s="8" t="n">
        <v>1107370</v>
      </c>
      <c r="I151" s="8" t="n">
        <v>340170</v>
      </c>
      <c r="J151" s="6">
        <f>IF(H151=0, "N/A", (I151-H151)/H151)</f>
        <v/>
      </c>
      <c r="K151" s="8">
        <f>B151+E151+H151</f>
        <v/>
      </c>
      <c r="L151" s="8">
        <f>C151+F151+I151</f>
        <v/>
      </c>
      <c r="M151" s="6">
        <f>IF(K151=0, "N/A", (L151-K151)/K151)</f>
        <v/>
      </c>
    </row>
    <row r="152">
      <c r="A152" s="2" t="inlineStr">
        <is>
          <t>Camisas</t>
        </is>
      </c>
      <c r="B152" s="8" t="n">
        <v>3144163.2318</v>
      </c>
      <c r="C152" s="8" t="n">
        <v>1050952.7174</v>
      </c>
      <c r="D152" s="6">
        <f>IF(B152=0, "N/A", (C152-B152)/B152)</f>
        <v/>
      </c>
      <c r="E152" s="8" t="n">
        <v>1875456.6202</v>
      </c>
      <c r="F152" s="8" t="n">
        <v>1380087.6378</v>
      </c>
      <c r="G152" s="6">
        <f>IF(E152=0, "N/A", (F152-E152)/E152)</f>
        <v/>
      </c>
      <c r="H152" s="8" t="n">
        <v>5899007.1459</v>
      </c>
      <c r="I152" s="8" t="n">
        <v>1947633.1155</v>
      </c>
      <c r="J152" s="6">
        <f>IF(H152=0, "N/A", (I152-H152)/H152)</f>
        <v/>
      </c>
      <c r="K152" s="8">
        <f>B152+E152+H152</f>
        <v/>
      </c>
      <c r="L152" s="8">
        <f>C152+F152+I152</f>
        <v/>
      </c>
      <c r="M152" s="6">
        <f>IF(K152=0, "N/A", (L152-K152)/K152)</f>
        <v/>
      </c>
    </row>
    <row r="153">
      <c r="A153" s="2" t="inlineStr">
        <is>
          <t>Camisetas Manga Larga</t>
        </is>
      </c>
      <c r="B153" s="8" t="n">
        <v>6398455.5575</v>
      </c>
      <c r="C153" s="8" t="n">
        <v>5330634.1012</v>
      </c>
      <c r="D153" s="6">
        <f>IF(B153=0, "N/A", (C153-B153)/B153)</f>
        <v/>
      </c>
      <c r="E153" s="8" t="n">
        <v>9769071.8279</v>
      </c>
      <c r="F153" s="8" t="n">
        <v>7757904.4185</v>
      </c>
      <c r="G153" s="6">
        <f>IF(E153=0, "N/A", (F153-E153)/E153)</f>
        <v/>
      </c>
      <c r="H153" s="8" t="n">
        <v>10782829.5673</v>
      </c>
      <c r="I153" s="8" t="n">
        <v>9784589.944399999</v>
      </c>
      <c r="J153" s="6">
        <f>IF(H153=0, "N/A", (I153-H153)/H153)</f>
        <v/>
      </c>
      <c r="K153" s="8">
        <f>B153+E153+H153</f>
        <v/>
      </c>
      <c r="L153" s="8">
        <f>C153+F153+I153</f>
        <v/>
      </c>
      <c r="M153" s="6">
        <f>IF(K153=0, "N/A", (L153-K153)/K153)</f>
        <v/>
      </c>
    </row>
    <row r="154">
      <c r="A154" s="2" t="inlineStr">
        <is>
          <t>Camisetas Manga Larga Orangutan</t>
        </is>
      </c>
      <c r="B154" s="8" t="n"/>
      <c r="C154" s="8" t="n">
        <v>643867.2738</v>
      </c>
      <c r="D154" s="6">
        <f>IF(B154=0, "N/A", (C154-B154)/B154)</f>
        <v/>
      </c>
      <c r="E154" s="8" t="n"/>
      <c r="F154" s="8" t="n">
        <v>897147.5096</v>
      </c>
      <c r="G154" s="6">
        <f>IF(E154=0, "N/A", (F154-E154)/E154)</f>
        <v/>
      </c>
      <c r="H154" s="8" t="n"/>
      <c r="I154" s="8" t="n">
        <v>7025641.3471</v>
      </c>
      <c r="J154" s="6">
        <f>IF(H154=0, "N/A", (I154-H154)/H154)</f>
        <v/>
      </c>
      <c r="K154" s="8">
        <f>B154+E154+H154</f>
        <v/>
      </c>
      <c r="L154" s="8">
        <f>C154+F154+I154</f>
        <v/>
      </c>
      <c r="M154" s="6">
        <f>IF(K154=0, "N/A", (L154-K154)/K154)</f>
        <v/>
      </c>
    </row>
    <row r="155">
      <c r="A155" s="2" t="inlineStr">
        <is>
          <t>Campera Capucha Rustico</t>
        </is>
      </c>
      <c r="B155" s="8" t="n"/>
      <c r="C155" s="8" t="n"/>
      <c r="D155" s="6">
        <f>IF(B155=0, "N/A", (C155-B155)/B155)</f>
        <v/>
      </c>
      <c r="E155" s="8" t="n"/>
      <c r="F155" s="8" t="n"/>
      <c r="G155" s="6">
        <f>IF(E155=0, "N/A", (F155-E155)/E155)</f>
        <v/>
      </c>
      <c r="H155" s="8" t="n"/>
      <c r="I155" s="8" t="n">
        <v>303860.2804</v>
      </c>
      <c r="J155" s="6">
        <f>IF(H155=0, "N/A", (I155-H155)/H155)</f>
        <v/>
      </c>
      <c r="K155" s="8">
        <f>B155+E155+H155</f>
        <v/>
      </c>
      <c r="L155" s="8">
        <f>C155+F155+I155</f>
        <v/>
      </c>
      <c r="M155" s="6">
        <f>IF(K155=0, "N/A", (L155-K155)/K155)</f>
        <v/>
      </c>
    </row>
    <row r="156">
      <c r="A156" s="2" t="inlineStr">
        <is>
          <t>Campera S Capucha</t>
        </is>
      </c>
      <c r="B156" s="8" t="n">
        <v>4527205.2125</v>
      </c>
      <c r="C156" s="8" t="n">
        <v>794010.0019</v>
      </c>
      <c r="D156" s="6">
        <f>IF(B156=0, "N/A", (C156-B156)/B156)</f>
        <v/>
      </c>
      <c r="E156" s="8" t="n">
        <v>7703029.8584</v>
      </c>
      <c r="F156" s="8" t="n">
        <v>917000</v>
      </c>
      <c r="G156" s="6">
        <f>IF(E156=0, "N/A", (F156-E156)/E156)</f>
        <v/>
      </c>
      <c r="H156" s="8" t="n">
        <v>14567321.8028</v>
      </c>
      <c r="I156" s="8" t="n">
        <v>8046587.4049</v>
      </c>
      <c r="J156" s="6">
        <f>IF(H156=0, "N/A", (I156-H156)/H156)</f>
        <v/>
      </c>
      <c r="K156" s="8">
        <f>B156+E156+H156</f>
        <v/>
      </c>
      <c r="L156" s="8">
        <f>C156+F156+I156</f>
        <v/>
      </c>
      <c r="M156" s="6">
        <f>IF(K156=0, "N/A", (L156-K156)/K156)</f>
        <v/>
      </c>
    </row>
    <row r="157">
      <c r="A157" s="2" t="inlineStr">
        <is>
          <t>Camperas Capucha</t>
        </is>
      </c>
      <c r="B157" s="8" t="n">
        <v>5217667.5164</v>
      </c>
      <c r="C157" s="8" t="n">
        <v>9378345.0244</v>
      </c>
      <c r="D157" s="6">
        <f>IF(B157=0, "N/A", (C157-B157)/B157)</f>
        <v/>
      </c>
      <c r="E157" s="8" t="n">
        <v>4840952.6224</v>
      </c>
      <c r="F157" s="8" t="n">
        <v>11425688.9394</v>
      </c>
      <c r="G157" s="6">
        <f>IF(E157=0, "N/A", (F157-E157)/E157)</f>
        <v/>
      </c>
      <c r="H157" s="8" t="n">
        <v>39636748.722</v>
      </c>
      <c r="I157" s="8" t="n">
        <v>34325808.3914</v>
      </c>
      <c r="J157" s="6">
        <f>IF(H157=0, "N/A", (I157-H157)/H157)</f>
        <v/>
      </c>
      <c r="K157" s="8">
        <f>B157+E157+H157</f>
        <v/>
      </c>
      <c r="L157" s="8">
        <f>C157+F157+I157</f>
        <v/>
      </c>
      <c r="M157" s="6">
        <f>IF(K157=0, "N/A", (L157-K157)/K157)</f>
        <v/>
      </c>
    </row>
    <row r="158">
      <c r="A158" s="2" t="inlineStr">
        <is>
          <t>Camperas De Abrigo</t>
        </is>
      </c>
      <c r="B158" s="8" t="n">
        <v>8321101.8902</v>
      </c>
      <c r="C158" s="8" t="n">
        <v>6031747.6483</v>
      </c>
      <c r="D158" s="6">
        <f>IF(B158=0, "N/A", (C158-B158)/B158)</f>
        <v/>
      </c>
      <c r="E158" s="8" t="n">
        <v>7760391.3241</v>
      </c>
      <c r="F158" s="8" t="n">
        <v>5251974.7526</v>
      </c>
      <c r="G158" s="6">
        <f>IF(E158=0, "N/A", (F158-E158)/E158)</f>
        <v/>
      </c>
      <c r="H158" s="8" t="n">
        <v>15003982.9851</v>
      </c>
      <c r="I158" s="8" t="n">
        <v>15061231.8557</v>
      </c>
      <c r="J158" s="6">
        <f>IF(H158=0, "N/A", (I158-H158)/H158)</f>
        <v/>
      </c>
      <c r="K158" s="8">
        <f>B158+E158+H158</f>
        <v/>
      </c>
      <c r="L158" s="8">
        <f>C158+F158+I158</f>
        <v/>
      </c>
      <c r="M158" s="6">
        <f>IF(K158=0, "N/A", (L158-K158)/K158)</f>
        <v/>
      </c>
    </row>
    <row r="159">
      <c r="A159" s="2" t="inlineStr">
        <is>
          <t>Chombas</t>
        </is>
      </c>
      <c r="B159" s="8" t="n">
        <v>5357282.7339</v>
      </c>
      <c r="C159" s="8" t="n">
        <v>2823179.4474</v>
      </c>
      <c r="D159" s="6">
        <f>IF(B159=0, "N/A", (C159-B159)/B159)</f>
        <v/>
      </c>
      <c r="E159" s="8" t="n">
        <v>5399183.8835</v>
      </c>
      <c r="F159" s="8" t="n">
        <v>4440810.1501</v>
      </c>
      <c r="G159" s="6">
        <f>IF(E159=0, "N/A", (F159-E159)/E159)</f>
        <v/>
      </c>
      <c r="H159" s="8" t="n">
        <v>6401564.0165</v>
      </c>
      <c r="I159" s="8" t="n">
        <v>7013611.8902</v>
      </c>
      <c r="J159" s="6">
        <f>IF(H159=0, "N/A", (I159-H159)/H159)</f>
        <v/>
      </c>
      <c r="K159" s="8">
        <f>B159+E159+H159</f>
        <v/>
      </c>
      <c r="L159" s="8">
        <f>C159+F159+I159</f>
        <v/>
      </c>
      <c r="M159" s="6">
        <f>IF(K159=0, "N/A", (L159-K159)/K159)</f>
        <v/>
      </c>
    </row>
    <row r="160">
      <c r="A160" s="2" t="inlineStr">
        <is>
          <t>Chombas Manga Larga</t>
        </is>
      </c>
      <c r="B160" s="8" t="n">
        <v>114000</v>
      </c>
      <c r="C160" s="8" t="n">
        <v>2337071.2663</v>
      </c>
      <c r="D160" s="6">
        <f>IF(B160=0, "N/A", (C160-B160)/B160)</f>
        <v/>
      </c>
      <c r="E160" s="8" t="n">
        <v>91249</v>
      </c>
      <c r="F160" s="8" t="n">
        <v>3077011.9005</v>
      </c>
      <c r="G160" s="6">
        <f>IF(E160=0, "N/A", (F160-E160)/E160)</f>
        <v/>
      </c>
      <c r="H160" s="8" t="n">
        <v>1858697</v>
      </c>
      <c r="I160" s="8" t="n">
        <v>546604.4366</v>
      </c>
      <c r="J160" s="6">
        <f>IF(H160=0, "N/A", (I160-H160)/H160)</f>
        <v/>
      </c>
      <c r="K160" s="8">
        <f>B160+E160+H160</f>
        <v/>
      </c>
      <c r="L160" s="8">
        <f>C160+F160+I160</f>
        <v/>
      </c>
      <c r="M160" s="6">
        <f>IF(K160=0, "N/A", (L160-K160)/K160)</f>
        <v/>
      </c>
    </row>
    <row r="161">
      <c r="A161" s="2" t="inlineStr">
        <is>
          <t>Jeans</t>
        </is>
      </c>
      <c r="B161" s="8" t="n">
        <v>18808085.4393</v>
      </c>
      <c r="C161" s="8" t="n">
        <v>21925856.0021</v>
      </c>
      <c r="D161" s="6">
        <f>IF(B161=0, "N/A", (C161-B161)/B161)</f>
        <v/>
      </c>
      <c r="E161" s="8" t="n">
        <v>27817827.8331</v>
      </c>
      <c r="F161" s="8" t="n">
        <v>25065987.0254</v>
      </c>
      <c r="G161" s="6">
        <f>IF(E161=0, "N/A", (F161-E161)/E161)</f>
        <v/>
      </c>
      <c r="H161" s="8" t="n">
        <v>91654033.7438</v>
      </c>
      <c r="I161" s="8" t="n">
        <v>122121119.2916</v>
      </c>
      <c r="J161" s="6">
        <f>IF(H161=0, "N/A", (I161-H161)/H161)</f>
        <v/>
      </c>
      <c r="K161" s="8">
        <f>B161+E161+H161</f>
        <v/>
      </c>
      <c r="L161" s="8">
        <f>C161+F161+I161</f>
        <v/>
      </c>
      <c r="M161" s="6">
        <f>IF(K161=0, "N/A", (L161-K161)/K161)</f>
        <v/>
      </c>
    </row>
    <row r="162">
      <c r="A162" s="2" t="inlineStr">
        <is>
          <t>Jeans De Segunda</t>
        </is>
      </c>
      <c r="B162" s="8" t="n"/>
      <c r="C162" s="8" t="n">
        <v>-24057.45</v>
      </c>
      <c r="D162" s="6">
        <f>IF(B162=0, "N/A", (C162-B162)/B162)</f>
        <v/>
      </c>
      <c r="E162" s="8" t="n"/>
      <c r="F162" s="8" t="n"/>
      <c r="G162" s="6">
        <f>IF(E162=0, "N/A", (F162-E162)/E162)</f>
        <v/>
      </c>
      <c r="H162" s="8" t="n"/>
      <c r="I162" s="8" t="n"/>
      <c r="J162" s="6">
        <f>IF(H162=0, "N/A", (I162-H162)/H162)</f>
        <v/>
      </c>
      <c r="K162" s="8">
        <f>B162+E162+H162</f>
        <v/>
      </c>
      <c r="L162" s="8">
        <f>C162+F162+I162</f>
        <v/>
      </c>
      <c r="M162" s="6">
        <f>IF(K162=0, "N/A", (L162-K162)/K162)</f>
        <v/>
      </c>
    </row>
    <row r="163">
      <c r="A163" s="2" t="inlineStr">
        <is>
          <t>Jogging</t>
        </is>
      </c>
      <c r="B163" s="8" t="n">
        <v>5082204.9031</v>
      </c>
      <c r="C163" s="8" t="n">
        <v>4243787.3353</v>
      </c>
      <c r="D163" s="6">
        <f>IF(B163=0, "N/A", (C163-B163)/B163)</f>
        <v/>
      </c>
      <c r="E163" s="8" t="n">
        <v>4557299.2288</v>
      </c>
      <c r="F163" s="8" t="n">
        <v>5287002.8609</v>
      </c>
      <c r="G163" s="6">
        <f>IF(E163=0, "N/A", (F163-E163)/E163)</f>
        <v/>
      </c>
      <c r="H163" s="8" t="n">
        <v>21400311.012</v>
      </c>
      <c r="I163" s="8" t="n">
        <v>23049045.8656</v>
      </c>
      <c r="J163" s="6">
        <f>IF(H163=0, "N/A", (I163-H163)/H163)</f>
        <v/>
      </c>
      <c r="K163" s="8">
        <f>B163+E163+H163</f>
        <v/>
      </c>
      <c r="L163" s="8">
        <f>C163+F163+I163</f>
        <v/>
      </c>
      <c r="M163" s="6">
        <f>IF(K163=0, "N/A", (L163-K163)/K163)</f>
        <v/>
      </c>
    </row>
    <row r="164">
      <c r="A164" s="2" t="inlineStr">
        <is>
          <t>Jogging Corto</t>
        </is>
      </c>
      <c r="B164" s="8" t="n"/>
      <c r="C164" s="8" t="n">
        <v>197500</v>
      </c>
      <c r="D164" s="6">
        <f>IF(B164=0, "N/A", (C164-B164)/B164)</f>
        <v/>
      </c>
      <c r="E164" s="8" t="n"/>
      <c r="F164" s="8" t="n">
        <v>388254.7306</v>
      </c>
      <c r="G164" s="6">
        <f>IF(E164=0, "N/A", (F164-E164)/E164)</f>
        <v/>
      </c>
      <c r="H164" s="8" t="n">
        <v>79986.5526</v>
      </c>
      <c r="I164" s="8" t="n">
        <v>555100</v>
      </c>
      <c r="J164" s="6">
        <f>IF(H164=0, "N/A", (I164-H164)/H164)</f>
        <v/>
      </c>
      <c r="K164" s="8">
        <f>B164+E164+H164</f>
        <v/>
      </c>
      <c r="L164" s="8">
        <f>C164+F164+I164</f>
        <v/>
      </c>
      <c r="M164" s="6">
        <f>IF(K164=0, "N/A", (L164-K164)/K164)</f>
        <v/>
      </c>
    </row>
    <row r="165">
      <c r="A165" s="2" t="inlineStr">
        <is>
          <t>Musculosas</t>
        </is>
      </c>
      <c r="B165" s="8" t="n">
        <v>1350803.0345</v>
      </c>
      <c r="C165" s="8" t="n">
        <v>723197.4157</v>
      </c>
      <c r="D165" s="6">
        <f>IF(B165=0, "N/A", (C165-B165)/B165)</f>
        <v/>
      </c>
      <c r="E165" s="8" t="n">
        <v>454310.5684</v>
      </c>
      <c r="F165" s="8" t="n">
        <v>363010.8957</v>
      </c>
      <c r="G165" s="6">
        <f>IF(E165=0, "N/A", (F165-E165)/E165)</f>
        <v/>
      </c>
      <c r="H165" s="8" t="n">
        <v>200352.5737</v>
      </c>
      <c r="I165" s="8" t="n">
        <v>1377298.9487</v>
      </c>
      <c r="J165" s="6">
        <f>IF(H165=0, "N/A", (I165-H165)/H165)</f>
        <v/>
      </c>
      <c r="K165" s="8">
        <f>B165+E165+H165</f>
        <v/>
      </c>
      <c r="L165" s="8">
        <f>C165+F165+I165</f>
        <v/>
      </c>
      <c r="M165" s="6">
        <f>IF(K165=0, "N/A", (L165-K165)/K165)</f>
        <v/>
      </c>
    </row>
    <row r="166">
      <c r="A166" s="2" t="inlineStr">
        <is>
          <t>Otro</t>
        </is>
      </c>
      <c r="B166" s="8" t="n">
        <v>248358.5826</v>
      </c>
      <c r="C166" s="8" t="n"/>
      <c r="D166" s="6">
        <f>IF(B166=0, "N/A", (C166-B166)/B166)</f>
        <v/>
      </c>
      <c r="E166" s="8" t="n">
        <v>325378.2782</v>
      </c>
      <c r="F166" s="8" t="n">
        <v>33000</v>
      </c>
      <c r="G166" s="6">
        <f>IF(E166=0, "N/A", (F166-E166)/E166)</f>
        <v/>
      </c>
      <c r="H166" s="8" t="n">
        <v>2</v>
      </c>
      <c r="I166" s="8" t="n">
        <v>223600</v>
      </c>
      <c r="J166" s="6">
        <f>IF(H166=0, "N/A", (I166-H166)/H166)</f>
        <v/>
      </c>
      <c r="K166" s="8">
        <f>B166+E166+H166</f>
        <v/>
      </c>
      <c r="L166" s="8">
        <f>C166+F166+I166</f>
        <v/>
      </c>
      <c r="M166" s="6">
        <f>IF(K166=0, "N/A", (L166-K166)/K166)</f>
        <v/>
      </c>
    </row>
    <row r="167">
      <c r="A167" s="2" t="inlineStr">
        <is>
          <t>Remeras</t>
        </is>
      </c>
      <c r="B167" s="8" t="n">
        <v>23931041.7202</v>
      </c>
      <c r="C167" s="8" t="n">
        <v>20986339.6961</v>
      </c>
      <c r="D167" s="6">
        <f>IF(B167=0, "N/A", (C167-B167)/B167)</f>
        <v/>
      </c>
      <c r="E167" s="8" t="n">
        <v>37201430.3531</v>
      </c>
      <c r="F167" s="8" t="n">
        <v>33469485.1461</v>
      </c>
      <c r="G167" s="6">
        <f>IF(E167=0, "N/A", (F167-E167)/E167)</f>
        <v/>
      </c>
      <c r="H167" s="8" t="n">
        <v>96384685.2731</v>
      </c>
      <c r="I167" s="8" t="n">
        <v>73362004.68619999</v>
      </c>
      <c r="J167" s="6">
        <f>IF(H167=0, "N/A", (I167-H167)/H167)</f>
        <v/>
      </c>
      <c r="K167" s="8">
        <f>B167+E167+H167</f>
        <v/>
      </c>
      <c r="L167" s="8">
        <f>C167+F167+I167</f>
        <v/>
      </c>
      <c r="M167" s="6">
        <f>IF(K167=0, "N/A", (L167-K167)/K167)</f>
        <v/>
      </c>
    </row>
    <row r="168">
      <c r="A168" s="2" t="inlineStr">
        <is>
          <t>Sweaters</t>
        </is>
      </c>
      <c r="B168" s="8" t="n">
        <v>4018317.0287</v>
      </c>
      <c r="C168" s="8" t="n">
        <v>5057288.6379</v>
      </c>
      <c r="D168" s="6">
        <f>IF(B168=0, "N/A", (C168-B168)/B168)</f>
        <v/>
      </c>
      <c r="E168" s="8" t="n">
        <v>8343412.0536</v>
      </c>
      <c r="F168" s="8" t="n">
        <v>5289155.1895</v>
      </c>
      <c r="G168" s="6">
        <f>IF(E168=0, "N/A", (F168-E168)/E168)</f>
        <v/>
      </c>
      <c r="H168" s="8" t="n">
        <v>9072439.822699999</v>
      </c>
      <c r="I168" s="8" t="n">
        <v>8947401.811799999</v>
      </c>
      <c r="J168" s="6">
        <f>IF(H168=0, "N/A", (I168-H168)/H168)</f>
        <v/>
      </c>
      <c r="K168" s="8">
        <f>B168+E168+H168</f>
        <v/>
      </c>
      <c r="L168" s="8">
        <f>C168+F168+I168</f>
        <v/>
      </c>
      <c r="M168" s="6">
        <f>IF(K168=0, "N/A", (L168-K168)/K168)</f>
        <v/>
      </c>
    </row>
    <row r="169">
      <c r="A169" s="2" t="inlineStr">
        <is>
          <t>Trajes De Baño</t>
        </is>
      </c>
      <c r="B169" s="8" t="n">
        <v>1530080.6129</v>
      </c>
      <c r="C169" s="8" t="n">
        <v>1023258.0347</v>
      </c>
      <c r="D169" s="6">
        <f>IF(B169=0, "N/A", (C169-B169)/B169)</f>
        <v/>
      </c>
      <c r="E169" s="8" t="n">
        <v>1717876.6081</v>
      </c>
      <c r="F169" s="8" t="n">
        <v>380898.8831</v>
      </c>
      <c r="G169" s="6">
        <f>IF(E169=0, "N/A", (F169-E169)/E169)</f>
        <v/>
      </c>
      <c r="H169" s="8" t="n">
        <v>944416.6054</v>
      </c>
      <c r="I169" s="8" t="n">
        <v>3466721.2755</v>
      </c>
      <c r="J169" s="6">
        <f>IF(H169=0, "N/A", (I169-H169)/H169)</f>
        <v/>
      </c>
      <c r="K169" s="8">
        <f>B169+E169+H169</f>
        <v/>
      </c>
      <c r="L169" s="8">
        <f>C169+F169+I169</f>
        <v/>
      </c>
      <c r="M169" s="6">
        <f>IF(K169=0, "N/A", (L169-K169)/K169)</f>
        <v/>
      </c>
    </row>
    <row r="170">
      <c r="A170" s="5" t="inlineStr">
        <is>
          <t>Totals</t>
        </is>
      </c>
      <c r="B170" s="9">
        <f>SUM($B141:$B169)</f>
        <v/>
      </c>
      <c r="C170" s="9">
        <f>SUM($C141:$C169)</f>
        <v/>
      </c>
      <c r="D170" s="7">
        <f>IF(B170=0, "N/A", (C170-B170)/B170)</f>
        <v/>
      </c>
      <c r="E170" s="9">
        <f>SUM($E141:$E169)</f>
        <v/>
      </c>
      <c r="F170" s="9">
        <f>SUM($F141:$F169)</f>
        <v/>
      </c>
      <c r="G170" s="7">
        <f>IF(E170=0, "N/A", (F170-E170)/E170)</f>
        <v/>
      </c>
      <c r="H170" s="9">
        <f>SUM($H141:$H169)</f>
        <v/>
      </c>
      <c r="I170" s="9">
        <f>SUM($I141:$I169)</f>
        <v/>
      </c>
      <c r="J170" s="7">
        <f>IF(H170=0, "N/A", (I170-H170)/H170)</f>
        <v/>
      </c>
      <c r="K170" s="9">
        <f>SUM($K141:$K169)</f>
        <v/>
      </c>
      <c r="L170" s="9">
        <f>SUM($L141:$L169)</f>
        <v/>
      </c>
      <c r="M170" s="7">
        <f>IF(K170=0, "N/A", (L170-K170)/K170)</f>
        <v/>
      </c>
    </row>
    <row r="173">
      <c r="A173" s="1" t="inlineStr">
        <is>
          <t>YoY Sales Amount Comparison - Branch Group 2</t>
        </is>
      </c>
    </row>
    <row r="174">
      <c r="B174" s="1" t="inlineStr">
        <is>
          <t>VIRREYES</t>
        </is>
      </c>
      <c r="C174" s="1" t="n"/>
      <c r="D174" s="1" t="n"/>
    </row>
    <row r="175">
      <c r="A175" s="1" t="inlineStr">
        <is>
          <t>Familias</t>
        </is>
      </c>
      <c r="B175" s="1" t="n">
        <v>2025</v>
      </c>
      <c r="C175" s="1" t="n">
        <v>2026</v>
      </c>
      <c r="D175" s="1" t="inlineStr">
        <is>
          <t>%</t>
        </is>
      </c>
    </row>
    <row r="176">
      <c r="A176" s="2" t="inlineStr">
        <is>
          <t>Accesorios</t>
        </is>
      </c>
      <c r="B176" s="8" t="n">
        <v>621767</v>
      </c>
      <c r="C176" s="8" t="n">
        <v>243496.1013</v>
      </c>
      <c r="D176" s="6">
        <f>IF(B176=0, "N/A", (C176-B176)/B176)</f>
        <v/>
      </c>
    </row>
    <row r="177">
      <c r="A177" s="2" t="inlineStr">
        <is>
          <t>Bermudas</t>
        </is>
      </c>
      <c r="B177" s="8" t="n">
        <v>454340</v>
      </c>
      <c r="C177" s="8" t="n">
        <v>692505.0005</v>
      </c>
      <c r="D177" s="6">
        <f>IF(B177=0, "N/A", (C177-B177)/B177)</f>
        <v/>
      </c>
    </row>
    <row r="178">
      <c r="A178" s="2" t="inlineStr">
        <is>
          <t>Boxer</t>
        </is>
      </c>
      <c r="B178" s="8" t="n">
        <v>283500</v>
      </c>
      <c r="C178" s="8" t="n">
        <v>285650.0008</v>
      </c>
      <c r="D178" s="6">
        <f>IF(B178=0, "N/A", (C178-B178)/B178)</f>
        <v/>
      </c>
    </row>
    <row r="179">
      <c r="A179" s="2" t="inlineStr">
        <is>
          <t>Buzo Cuello Redondo</t>
        </is>
      </c>
      <c r="B179" s="8" t="n">
        <v>2002999</v>
      </c>
      <c r="C179" s="8" t="n">
        <v>463599.9974</v>
      </c>
      <c r="D179" s="6">
        <f>IF(B179=0, "N/A", (C179-B179)/B179)</f>
        <v/>
      </c>
    </row>
    <row r="180">
      <c r="A180" s="2" t="inlineStr">
        <is>
          <t>Buzos C Capucha</t>
        </is>
      </c>
      <c r="B180" s="8" t="n">
        <v>3758970.999</v>
      </c>
      <c r="C180" s="8" t="n">
        <v>1479200.0031</v>
      </c>
      <c r="D180" s="6">
        <f>IF(B180=0, "N/A", (C180-B180)/B180)</f>
        <v/>
      </c>
    </row>
    <row r="181">
      <c r="A181" s="2" t="inlineStr">
        <is>
          <t>Buzos C Capucha Orangutan</t>
        </is>
      </c>
      <c r="B181" s="8" t="n"/>
      <c r="C181" s="8" t="n">
        <v>1377239.9971</v>
      </c>
      <c r="D181" s="6">
        <f>IF(B181=0, "N/A", (C181-B181)/B181)</f>
        <v/>
      </c>
    </row>
    <row r="182">
      <c r="A182" s="2" t="inlineStr">
        <is>
          <t>Buzos C Redondo Orangutan</t>
        </is>
      </c>
      <c r="B182" s="8" t="n"/>
      <c r="C182" s="8" t="n">
        <v>550939.9978</v>
      </c>
      <c r="D182" s="6">
        <f>IF(B182=0, "N/A", (C182-B182)/B182)</f>
        <v/>
      </c>
    </row>
    <row r="183">
      <c r="A183" s="2" t="inlineStr">
        <is>
          <t>Buzos Medio Cierre</t>
        </is>
      </c>
      <c r="B183" s="8" t="n">
        <v>287000</v>
      </c>
      <c r="C183" s="8" t="n"/>
      <c r="D183" s="6">
        <f>IF(B183=0, "N/A", (C183-B183)/B183)</f>
        <v/>
      </c>
    </row>
    <row r="184">
      <c r="A184" s="2" t="inlineStr">
        <is>
          <t>Calzado</t>
        </is>
      </c>
      <c r="B184" s="8" t="n">
        <v>299289</v>
      </c>
      <c r="C184" s="8" t="n">
        <v>40200</v>
      </c>
      <c r="D184" s="6">
        <f>IF(B184=0, "N/A", (C184-B184)/B184)</f>
        <v/>
      </c>
    </row>
    <row r="185">
      <c r="A185" s="2" t="inlineStr">
        <is>
          <t>Camisas</t>
        </is>
      </c>
      <c r="B185" s="8" t="n">
        <v>161188</v>
      </c>
      <c r="C185" s="8" t="n"/>
      <c r="D185" s="6">
        <f>IF(B185=0, "N/A", (C185-B185)/B185)</f>
        <v/>
      </c>
    </row>
    <row r="186">
      <c r="A186" s="2" t="inlineStr">
        <is>
          <t>Camisetas Manga Larga</t>
        </is>
      </c>
      <c r="B186" s="8" t="n">
        <v>723750</v>
      </c>
      <c r="C186" s="8" t="n"/>
      <c r="D186" s="6">
        <f>IF(B186=0, "N/A", (C186-B186)/B186)</f>
        <v/>
      </c>
    </row>
    <row r="187">
      <c r="A187" s="2" t="inlineStr">
        <is>
          <t>Camisetas Manga Larga Orangutan</t>
        </is>
      </c>
      <c r="B187" s="8" t="n"/>
      <c r="C187" s="8" t="n">
        <v>173120</v>
      </c>
      <c r="D187" s="6">
        <f>IF(B187=0, "N/A", (C187-B187)/B187)</f>
        <v/>
      </c>
    </row>
    <row r="188">
      <c r="A188" s="2" t="inlineStr">
        <is>
          <t>Campera S Capucha</t>
        </is>
      </c>
      <c r="B188" s="8" t="n">
        <v>45500</v>
      </c>
      <c r="C188" s="8" t="n">
        <v>36900</v>
      </c>
      <c r="D188" s="6">
        <f>IF(B188=0, "N/A", (C188-B188)/B188)</f>
        <v/>
      </c>
    </row>
    <row r="189">
      <c r="A189" s="2" t="inlineStr">
        <is>
          <t>Camperas Capucha</t>
        </is>
      </c>
      <c r="B189" s="8" t="n">
        <v>1526400</v>
      </c>
      <c r="C189" s="8" t="n">
        <v>896340</v>
      </c>
      <c r="D189" s="6">
        <f>IF(B189=0, "N/A", (C189-B189)/B189)</f>
        <v/>
      </c>
    </row>
    <row r="190">
      <c r="A190" s="2" t="inlineStr">
        <is>
          <t>Camperas De Abrigo</t>
        </is>
      </c>
      <c r="B190" s="8" t="n">
        <v>1900000</v>
      </c>
      <c r="C190" s="8" t="n">
        <v>649239.9979</v>
      </c>
      <c r="D190" s="6">
        <f>IF(B190=0, "N/A", (C190-B190)/B190)</f>
        <v/>
      </c>
    </row>
    <row r="191">
      <c r="A191" s="2" t="inlineStr">
        <is>
          <t>Chombas</t>
        </is>
      </c>
      <c r="B191" s="8" t="n">
        <v>92870</v>
      </c>
      <c r="C191" s="8" t="n">
        <v>129249.9987</v>
      </c>
      <c r="D191" s="6">
        <f>IF(B191=0, "N/A", (C191-B191)/B191)</f>
        <v/>
      </c>
    </row>
    <row r="192">
      <c r="A192" s="2" t="inlineStr">
        <is>
          <t>Chombas Manga Larga</t>
        </is>
      </c>
      <c r="B192" s="8" t="n"/>
      <c r="C192" s="8" t="n">
        <v>56999.999</v>
      </c>
      <c r="D192" s="6">
        <f>IF(B192=0, "N/A", (C192-B192)/B192)</f>
        <v/>
      </c>
    </row>
    <row r="193">
      <c r="A193" s="2" t="inlineStr">
        <is>
          <t>Detroit</t>
        </is>
      </c>
      <c r="B193" s="8" t="n"/>
      <c r="C193" s="8" t="n">
        <v>31410</v>
      </c>
      <c r="D193" s="6">
        <f>IF(B193=0, "N/A", (C193-B193)/B193)</f>
        <v/>
      </c>
    </row>
    <row r="194">
      <c r="A194" s="2" t="inlineStr">
        <is>
          <t>Jeans</t>
        </is>
      </c>
      <c r="B194" s="8" t="n">
        <v>3137950</v>
      </c>
      <c r="C194" s="8" t="n">
        <v>3121031.998</v>
      </c>
      <c r="D194" s="6">
        <f>IF(B194=0, "N/A", (C194-B194)/B194)</f>
        <v/>
      </c>
    </row>
    <row r="195">
      <c r="A195" s="2" t="inlineStr">
        <is>
          <t>Jogging</t>
        </is>
      </c>
      <c r="B195" s="8" t="n">
        <v>1096490</v>
      </c>
      <c r="C195" s="8" t="n">
        <v>769999.999</v>
      </c>
      <c r="D195" s="6">
        <f>IF(B195=0, "N/A", (C195-B195)/B195)</f>
        <v/>
      </c>
    </row>
    <row r="196">
      <c r="A196" s="2" t="inlineStr">
        <is>
          <t>Jogging Corto</t>
        </is>
      </c>
      <c r="B196" s="8" t="n">
        <v>99950</v>
      </c>
      <c r="C196" s="8" t="n">
        <v>144000</v>
      </c>
      <c r="D196" s="6">
        <f>IF(B196=0, "N/A", (C196-B196)/B196)</f>
        <v/>
      </c>
    </row>
    <row r="197">
      <c r="A197" s="2" t="inlineStr">
        <is>
          <t>Musculosas</t>
        </is>
      </c>
      <c r="B197" s="8" t="n">
        <v>134100</v>
      </c>
      <c r="C197" s="8" t="n">
        <v>90000</v>
      </c>
      <c r="D197" s="6">
        <f>IF(B197=0, "N/A", (C197-B197)/B197)</f>
        <v/>
      </c>
    </row>
    <row r="198">
      <c r="A198" s="2" t="inlineStr">
        <is>
          <t>Otro</t>
        </is>
      </c>
      <c r="B198" s="8" t="n">
        <v>152201</v>
      </c>
      <c r="C198" s="8" t="n">
        <v>159420</v>
      </c>
      <c r="D198" s="6">
        <f>IF(B198=0, "N/A", (C198-B198)/B198)</f>
        <v/>
      </c>
    </row>
    <row r="199">
      <c r="A199" s="2" t="inlineStr">
        <is>
          <t>Remeras</t>
        </is>
      </c>
      <c r="B199" s="8" t="n">
        <v>5467759.101</v>
      </c>
      <c r="C199" s="8" t="n">
        <v>3222035.0073</v>
      </c>
      <c r="D199" s="6">
        <f>IF(B199=0, "N/A", (C199-B199)/B199)</f>
        <v/>
      </c>
    </row>
    <row r="200">
      <c r="A200" s="2" t="inlineStr">
        <is>
          <t>Sweaters</t>
        </is>
      </c>
      <c r="B200" s="8" t="n">
        <v>645000</v>
      </c>
      <c r="C200" s="8" t="n">
        <v>100800.0021</v>
      </c>
      <c r="D200" s="6">
        <f>IF(B200=0, "N/A", (C200-B200)/B200)</f>
        <v/>
      </c>
    </row>
    <row r="201">
      <c r="A201" s="2" t="inlineStr">
        <is>
          <t>Trajes De Baño</t>
        </is>
      </c>
      <c r="B201" s="8" t="n">
        <v>197135</v>
      </c>
      <c r="C201" s="8" t="n">
        <v>313285</v>
      </c>
      <c r="D201" s="6">
        <f>IF(B201=0, "N/A", (C201-B201)/B201)</f>
        <v/>
      </c>
    </row>
    <row r="202">
      <c r="A202" s="5" t="inlineStr">
        <is>
          <t>Totals</t>
        </is>
      </c>
      <c r="B202" s="9">
        <f>SUM($B176:$B201)</f>
        <v/>
      </c>
      <c r="C202" s="9">
        <f>SUM($C176:$C201)</f>
        <v/>
      </c>
      <c r="D202" s="7">
        <f>IF(B202=0, "N/A", (C202-B202)/B202)</f>
        <v/>
      </c>
    </row>
  </sheetData>
  <mergeCells count="16">
    <mergeCell ref="A36:M36"/>
    <mergeCell ref="A138:M138"/>
    <mergeCell ref="E139:F139"/>
    <mergeCell ref="B139:C139"/>
    <mergeCell ref="H139:I139"/>
    <mergeCell ref="A173:D173"/>
    <mergeCell ref="B72:C72"/>
    <mergeCell ref="B37:C37"/>
    <mergeCell ref="A1:F1"/>
    <mergeCell ref="A103:F103"/>
    <mergeCell ref="K139:L139"/>
    <mergeCell ref="B174:C174"/>
    <mergeCell ref="E37:F37"/>
    <mergeCell ref="K37:L37"/>
    <mergeCell ref="H37:I37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2026-09-30T14:27:55Z</dcterms:created>
  <dcterms:modified xmlns:dcterms="http://purl.org/dc/terms/" xmlns:xsi="http://www.w3.org/2001/XMLSchema-instance" xsi:type="dcterms:W3CDTF">2026-09-30T14:27:56Z</dcterms:modified>
</cp:coreProperties>
</file>