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-26" sheetId="1" state="visible" r:id="rId1"/>
    <sheet xmlns:r="http://schemas.openxmlformats.org/officeDocument/2006/relationships" name="02-26" sheetId="2" state="visible" r:id="rId2"/>
    <sheet xmlns:r="http://schemas.openxmlformats.org/officeDocument/2006/relationships" name="03-26" sheetId="3" state="visible" r:id="rId3"/>
    <sheet xmlns:r="http://schemas.openxmlformats.org/officeDocument/2006/relationships" name="04-26" sheetId="4" state="visible" r:id="rId4"/>
    <sheet xmlns:r="http://schemas.openxmlformats.org/officeDocument/2006/relationships" name="05-26" sheetId="5" state="visible" r:id="rId5"/>
    <sheet xmlns:r="http://schemas.openxmlformats.org/officeDocument/2006/relationships" name="06-26" sheetId="6" state="visible" r:id="rId6"/>
    <sheet xmlns:r="http://schemas.openxmlformats.org/officeDocument/2006/relationships" name="07-26" sheetId="7" state="visible" r:id="rId7"/>
    <sheet xmlns:r="http://schemas.openxmlformats.org/officeDocument/2006/relationships" name="08-26" sheetId="8" state="visible" r:id="rId8"/>
    <sheet xmlns:r="http://schemas.openxmlformats.org/officeDocument/2006/relationships" name="Full Repor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 vertical="center"/>
    </xf>
    <xf numFmtId="10" fontId="1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Sales from January 02, 2026 to January 31,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16</v>
      </c>
      <c r="C3" s="3" t="n">
        <v>25</v>
      </c>
      <c r="D3" s="3" t="n">
        <v>26</v>
      </c>
      <c r="E3" s="3" t="n">
        <v>4</v>
      </c>
      <c r="F3" s="4">
        <f>B3+C3+D3+E3</f>
        <v/>
      </c>
    </row>
    <row r="4">
      <c r="A4" s="2" t="inlineStr">
        <is>
          <t>Bermudas</t>
        </is>
      </c>
      <c r="B4" s="3" t="n">
        <v>29</v>
      </c>
      <c r="C4" s="3" t="n">
        <v>65</v>
      </c>
      <c r="D4" s="3" t="n">
        <v>135</v>
      </c>
      <c r="E4" s="3" t="n">
        <v>11</v>
      </c>
      <c r="F4" s="4">
        <f>B4+C4+D4+E4</f>
        <v/>
      </c>
    </row>
    <row r="5">
      <c r="A5" s="2" t="inlineStr">
        <is>
          <t>Boxer</t>
        </is>
      </c>
      <c r="B5" s="3" t="n">
        <v>7</v>
      </c>
      <c r="C5" s="3" t="n">
        <v>28</v>
      </c>
      <c r="D5" s="3" t="n">
        <v>82</v>
      </c>
      <c r="E5" s="3" t="n">
        <v>1</v>
      </c>
      <c r="F5" s="4">
        <f>B5+C5+D5+E5</f>
        <v/>
      </c>
    </row>
    <row r="6">
      <c r="A6" s="2" t="inlineStr">
        <is>
          <t>Buzo C Capucha Rustico</t>
        </is>
      </c>
      <c r="B6" s="3" t="n"/>
      <c r="C6" s="3" t="n"/>
      <c r="D6" s="3" t="n">
        <v>2</v>
      </c>
      <c r="E6" s="3" t="n"/>
      <c r="F6" s="4">
        <f>B6+C6+D6+E6</f>
        <v/>
      </c>
    </row>
    <row r="7">
      <c r="A7" s="2" t="inlineStr">
        <is>
          <t>Buzo Cuello Redondo</t>
        </is>
      </c>
      <c r="B7" s="3" t="n"/>
      <c r="C7" s="3" t="n">
        <v>6</v>
      </c>
      <c r="D7" s="3" t="n">
        <v>7</v>
      </c>
      <c r="E7" s="3" t="n"/>
      <c r="F7" s="4">
        <f>B7+C7+D7+E7</f>
        <v/>
      </c>
    </row>
    <row r="8">
      <c r="A8" s="2" t="inlineStr">
        <is>
          <t>Buzos C Capucha</t>
        </is>
      </c>
      <c r="B8" s="3" t="n"/>
      <c r="C8" s="3" t="n">
        <v>5</v>
      </c>
      <c r="D8" s="3" t="n">
        <v>1</v>
      </c>
      <c r="E8" s="3" t="n"/>
      <c r="F8" s="4">
        <f>B8+C8+D8+E8</f>
        <v/>
      </c>
    </row>
    <row r="9">
      <c r="A9" s="2" t="inlineStr">
        <is>
          <t>Buzos Medio Cierre</t>
        </is>
      </c>
      <c r="B9" s="3" t="n"/>
      <c r="C9" s="3" t="n">
        <v>2</v>
      </c>
      <c r="D9" s="3" t="n"/>
      <c r="E9" s="3" t="n"/>
      <c r="F9" s="4">
        <f>B9+C9+D9+E9</f>
        <v/>
      </c>
    </row>
    <row r="10">
      <c r="A10" s="2" t="inlineStr">
        <is>
          <t>Calzado</t>
        </is>
      </c>
      <c r="B10" s="3" t="n">
        <v>8</v>
      </c>
      <c r="C10" s="3" t="n">
        <v>11</v>
      </c>
      <c r="D10" s="3" t="n">
        <v>8</v>
      </c>
      <c r="E10" s="3" t="n"/>
      <c r="F10" s="4">
        <f>B10+C10+D10+E10</f>
        <v/>
      </c>
    </row>
    <row r="11">
      <c r="A11" s="2" t="inlineStr">
        <is>
          <t>Camisas</t>
        </is>
      </c>
      <c r="B11" s="3" t="n">
        <v>14</v>
      </c>
      <c r="C11" s="3" t="n">
        <v>8</v>
      </c>
      <c r="D11" s="3" t="n">
        <v>37</v>
      </c>
      <c r="E11" s="3" t="n"/>
      <c r="F11" s="4">
        <f>B11+C11+D11+E11</f>
        <v/>
      </c>
    </row>
    <row r="12">
      <c r="A12" s="2" t="inlineStr">
        <is>
          <t>Camisetas Manga Larga</t>
        </is>
      </c>
      <c r="B12" s="3" t="n"/>
      <c r="C12" s="3" t="n">
        <v>2</v>
      </c>
      <c r="D12" s="3" t="n"/>
      <c r="E12" s="3" t="n"/>
      <c r="F12" s="4">
        <f>B12+C12+D12+E12</f>
        <v/>
      </c>
    </row>
    <row r="13">
      <c r="A13" s="2" t="inlineStr">
        <is>
          <t>Campera Capucha Rustico</t>
        </is>
      </c>
      <c r="B13" s="3" t="n"/>
      <c r="C13" s="3" t="n"/>
      <c r="D13" s="3" t="n">
        <v>2</v>
      </c>
      <c r="E13" s="3" t="n"/>
      <c r="F13" s="4">
        <f>B13+C13+D13+E13</f>
        <v/>
      </c>
    </row>
    <row r="14">
      <c r="A14" s="2" t="inlineStr">
        <is>
          <t>Campera S Capucha</t>
        </is>
      </c>
      <c r="B14" s="3" t="n"/>
      <c r="C14" s="3" t="n">
        <v>-1</v>
      </c>
      <c r="D14" s="3" t="n"/>
      <c r="E14" s="3" t="n"/>
      <c r="F14" s="4">
        <f>B14+C14+D14+E14</f>
        <v/>
      </c>
    </row>
    <row r="15">
      <c r="A15" s="2" t="inlineStr">
        <is>
          <t>Camperas Capucha</t>
        </is>
      </c>
      <c r="B15" s="3" t="n"/>
      <c r="C15" s="3" t="n">
        <v>2</v>
      </c>
      <c r="D15" s="3" t="n">
        <v>1</v>
      </c>
      <c r="E15" s="3" t="n"/>
      <c r="F15" s="4">
        <f>B15+C15+D15+E15</f>
        <v/>
      </c>
    </row>
    <row r="16">
      <c r="A16" s="2" t="inlineStr">
        <is>
          <t>Camperas De Abrigo</t>
        </is>
      </c>
      <c r="B16" s="3" t="n"/>
      <c r="C16" s="3" t="n">
        <v>1</v>
      </c>
      <c r="D16" s="3" t="n"/>
      <c r="E16" s="3" t="n"/>
      <c r="F16" s="4">
        <f>B16+C16+D16+E16</f>
        <v/>
      </c>
    </row>
    <row r="17">
      <c r="A17" s="2" t="inlineStr">
        <is>
          <t>Chombas</t>
        </is>
      </c>
      <c r="B17" s="3" t="n">
        <v>35</v>
      </c>
      <c r="C17" s="3" t="n">
        <v>53</v>
      </c>
      <c r="D17" s="3" t="n">
        <v>96</v>
      </c>
      <c r="E17" s="3" t="n"/>
      <c r="F17" s="4">
        <f>B17+C17+D17+E17</f>
        <v/>
      </c>
    </row>
    <row r="18">
      <c r="A18" s="2" t="inlineStr">
        <is>
          <t>Jeans</t>
        </is>
      </c>
      <c r="B18" s="3" t="n">
        <v>14</v>
      </c>
      <c r="C18" s="3" t="n">
        <v>26</v>
      </c>
      <c r="D18" s="3" t="n">
        <v>70</v>
      </c>
      <c r="E18" s="3" t="n">
        <v>2</v>
      </c>
      <c r="F18" s="4">
        <f>B18+C18+D18+E18</f>
        <v/>
      </c>
    </row>
    <row r="19">
      <c r="A19" s="2" t="inlineStr">
        <is>
          <t>Jogging</t>
        </is>
      </c>
      <c r="B19" s="3" t="n">
        <v>1</v>
      </c>
      <c r="C19" s="3" t="n">
        <v>-1</v>
      </c>
      <c r="D19" s="3" t="n">
        <v>1</v>
      </c>
      <c r="E19" s="3" t="n"/>
      <c r="F19" s="4">
        <f>B19+C19+D19+E19</f>
        <v/>
      </c>
    </row>
    <row r="20">
      <c r="A20" s="2" t="inlineStr">
        <is>
          <t>Jogging Corto</t>
        </is>
      </c>
      <c r="B20" s="3" t="n">
        <v>1</v>
      </c>
      <c r="C20" s="3" t="n">
        <v>4</v>
      </c>
      <c r="D20" s="3" t="n">
        <v>10</v>
      </c>
      <c r="E20" s="3" t="n">
        <v>4</v>
      </c>
      <c r="F20" s="4">
        <f>B20+C20+D20+E20</f>
        <v/>
      </c>
    </row>
    <row r="21">
      <c r="A21" s="2" t="inlineStr">
        <is>
          <t>Musculosas</t>
        </is>
      </c>
      <c r="B21" s="3" t="n">
        <v>24</v>
      </c>
      <c r="C21" s="3" t="n">
        <v>24</v>
      </c>
      <c r="D21" s="3" t="n">
        <v>19</v>
      </c>
      <c r="E21" s="3" t="n">
        <v>2</v>
      </c>
      <c r="F21" s="4">
        <f>B21+C21+D21+E21</f>
        <v/>
      </c>
    </row>
    <row r="22">
      <c r="A22" s="2" t="inlineStr">
        <is>
          <t>Other</t>
        </is>
      </c>
      <c r="B22" s="3" t="n"/>
      <c r="C22" s="3" t="n">
        <v>2</v>
      </c>
      <c r="D22" s="3" t="n"/>
      <c r="E22" s="3" t="n"/>
      <c r="F22" s="4">
        <f>B22+C22+D22+E22</f>
        <v/>
      </c>
    </row>
    <row r="23">
      <c r="A23" s="2" t="inlineStr">
        <is>
          <t>Remeras</t>
        </is>
      </c>
      <c r="B23" s="3" t="n">
        <v>221</v>
      </c>
      <c r="C23" s="3" t="n">
        <v>251</v>
      </c>
      <c r="D23" s="3" t="n">
        <v>706</v>
      </c>
      <c r="E23" s="3" t="n">
        <v>40</v>
      </c>
      <c r="F23" s="4">
        <f>B23+C23+D23+E23</f>
        <v/>
      </c>
    </row>
    <row r="24">
      <c r="A24" s="2" t="inlineStr">
        <is>
          <t>Sweaters</t>
        </is>
      </c>
      <c r="B24" s="3" t="n"/>
      <c r="C24" s="3" t="n">
        <v>3</v>
      </c>
      <c r="D24" s="3" t="n">
        <v>2</v>
      </c>
      <c r="E24" s="3" t="n"/>
      <c r="F24" s="4">
        <f>B24+C24+D24+E24</f>
        <v/>
      </c>
    </row>
    <row r="25">
      <c r="A25" s="2" t="inlineStr">
        <is>
          <t>Trajes De Baño</t>
        </is>
      </c>
      <c r="B25" s="3" t="n">
        <v>36</v>
      </c>
      <c r="C25" s="3" t="n">
        <v>8</v>
      </c>
      <c r="D25" s="3" t="n">
        <v>79</v>
      </c>
      <c r="E25" s="3" t="n">
        <v>9</v>
      </c>
      <c r="F25" s="4">
        <f>B25+C25+D25+E25</f>
        <v/>
      </c>
    </row>
    <row r="26">
      <c r="A26" s="5" t="inlineStr">
        <is>
          <t>Totals</t>
        </is>
      </c>
      <c r="B26" s="4">
        <f>SUM($B$3:$B$25)</f>
        <v/>
      </c>
      <c r="C26" s="4">
        <f>SUM($C$3:$C$25)</f>
        <v/>
      </c>
      <c r="D26" s="4">
        <f>SUM($D$3:$D$25)</f>
        <v/>
      </c>
      <c r="E26" s="4">
        <f>SUM($E$3:$E$25)</f>
        <v/>
      </c>
      <c r="F26" s="4">
        <f>SUM($F$3:$F$25)</f>
        <v/>
      </c>
    </row>
    <row r="29">
      <c r="A29" s="1" t="inlineStr">
        <is>
          <t>YoY Comparison - Branch Group 1</t>
        </is>
      </c>
    </row>
    <row r="30">
      <c r="B30" s="1" t="inlineStr">
        <is>
          <t>LIBERT.R</t>
        </is>
      </c>
      <c r="C30" s="1" t="n"/>
      <c r="D30" s="1" t="n"/>
      <c r="E30" s="1" t="inlineStr">
        <is>
          <t>PASO.R</t>
        </is>
      </c>
      <c r="F30" s="1" t="n"/>
      <c r="G30" s="1" t="n"/>
      <c r="H30" s="1" t="inlineStr">
        <is>
          <t>P.OESTE</t>
        </is>
      </c>
      <c r="I30" s="1" t="n"/>
      <c r="J30" s="1" t="n"/>
      <c r="K30" s="1" t="inlineStr">
        <is>
          <t>Global</t>
        </is>
      </c>
      <c r="L30" s="1" t="n"/>
      <c r="M30" s="1" t="n"/>
    </row>
    <row r="31">
      <c r="A31" s="1" t="inlineStr">
        <is>
          <t>Familias</t>
        </is>
      </c>
      <c r="B31" s="1" t="n">
        <v>2025</v>
      </c>
      <c r="C31" s="1" t="n">
        <v>2026</v>
      </c>
      <c r="D31" s="1" t="inlineStr">
        <is>
          <t>%</t>
        </is>
      </c>
      <c r="E31" s="1" t="n">
        <v>2025</v>
      </c>
      <c r="F31" s="1" t="n">
        <v>2026</v>
      </c>
      <c r="G31" s="1" t="inlineStr">
        <is>
          <t>%</t>
        </is>
      </c>
      <c r="H31" s="1" t="n">
        <v>2025</v>
      </c>
      <c r="I31" s="1" t="n">
        <v>2026</v>
      </c>
      <c r="J31" s="1" t="inlineStr">
        <is>
          <t>%</t>
        </is>
      </c>
      <c r="K31" s="1" t="n">
        <v>2025</v>
      </c>
      <c r="L31" s="1" t="n">
        <v>2026</v>
      </c>
      <c r="M31" s="1" t="inlineStr">
        <is>
          <t>%</t>
        </is>
      </c>
    </row>
    <row r="32">
      <c r="A32" s="2" t="inlineStr">
        <is>
          <t>Accesorios</t>
        </is>
      </c>
      <c r="B32" s="3" t="n">
        <v>18</v>
      </c>
      <c r="C32" s="3" t="n">
        <v>16</v>
      </c>
      <c r="D32" s="6">
        <f>IF(B32=0, "N/A", (C32-B32)/B32)</f>
        <v/>
      </c>
      <c r="E32" s="3" t="n">
        <v>15</v>
      </c>
      <c r="F32" s="3" t="n">
        <v>25</v>
      </c>
      <c r="G32" s="6">
        <f>IF(E32=0, "N/A", (F32-E32)/E32)</f>
        <v/>
      </c>
      <c r="H32" s="3" t="n">
        <v>27</v>
      </c>
      <c r="I32" s="3" t="n">
        <v>26</v>
      </c>
      <c r="J32" s="6">
        <f>IF(H32=0, "N/A", (I32-H32)/H32)</f>
        <v/>
      </c>
      <c r="K32" s="3">
        <f>B32+E32+H32</f>
        <v/>
      </c>
      <c r="L32" s="3">
        <f>C32+F32+I32</f>
        <v/>
      </c>
      <c r="M32" s="6">
        <f>IF(K32=0, "N/A", (L32-K32)/K32)</f>
        <v/>
      </c>
    </row>
    <row r="33">
      <c r="A33" s="2" t="inlineStr">
        <is>
          <t>Bermudas</t>
        </is>
      </c>
      <c r="B33" s="3" t="n">
        <v>46</v>
      </c>
      <c r="C33" s="3" t="n">
        <v>29</v>
      </c>
      <c r="D33" s="6">
        <f>IF(B33=0, "N/A", (C33-B33)/B33)</f>
        <v/>
      </c>
      <c r="E33" s="3" t="n">
        <v>66</v>
      </c>
      <c r="F33" s="3" t="n">
        <v>65</v>
      </c>
      <c r="G33" s="6">
        <f>IF(E33=0, "N/A", (F33-E33)/E33)</f>
        <v/>
      </c>
      <c r="H33" s="3" t="n">
        <v>95</v>
      </c>
      <c r="I33" s="3" t="n">
        <v>135</v>
      </c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Boxer</t>
        </is>
      </c>
      <c r="B34" s="3" t="n">
        <v>1</v>
      </c>
      <c r="C34" s="3" t="n">
        <v>7</v>
      </c>
      <c r="D34" s="6">
        <f>IF(B34=0, "N/A", (C34-B34)/B34)</f>
        <v/>
      </c>
      <c r="E34" s="3" t="n">
        <v>1</v>
      </c>
      <c r="F34" s="3" t="n">
        <v>28</v>
      </c>
      <c r="G34" s="6">
        <f>IF(E34=0, "N/A", (F34-E34)/E34)</f>
        <v/>
      </c>
      <c r="H34" s="3" t="n">
        <v>32</v>
      </c>
      <c r="I34" s="3" t="n">
        <v>82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Buzo C Capucha Rustico</t>
        </is>
      </c>
      <c r="B35" s="3" t="n"/>
      <c r="C35" s="3" t="n"/>
      <c r="D35" s="6">
        <f>IF(B35=0, "N/A", (C35-B35)/B35)</f>
        <v/>
      </c>
      <c r="E35" s="3" t="n"/>
      <c r="F35" s="3" t="n"/>
      <c r="G35" s="6">
        <f>IF(E35=0, "N/A", (F35-E35)/E35)</f>
        <v/>
      </c>
      <c r="H35" s="3" t="n"/>
      <c r="I35" s="3" t="n">
        <v>2</v>
      </c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 Cuello Redondo</t>
        </is>
      </c>
      <c r="B36" s="3" t="n"/>
      <c r="C36" s="3" t="n"/>
      <c r="D36" s="6">
        <f>IF(B36=0, "N/A", (C36-B36)/B36)</f>
        <v/>
      </c>
      <c r="E36" s="3" t="n">
        <v>2</v>
      </c>
      <c r="F36" s="3" t="n">
        <v>6</v>
      </c>
      <c r="G36" s="6">
        <f>IF(E36=0, "N/A", (F36-E36)/E36)</f>
        <v/>
      </c>
      <c r="H36" s="3" t="n">
        <v>2</v>
      </c>
      <c r="I36" s="3" t="n">
        <v>7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Buzos</t>
        </is>
      </c>
      <c r="B37" s="3" t="n">
        <v>3</v>
      </c>
      <c r="C37" s="3" t="n"/>
      <c r="D37" s="6">
        <f>IF(B37=0, "N/A", (C37-B37)/B37)</f>
        <v/>
      </c>
      <c r="E37" s="3" t="n">
        <v>1</v>
      </c>
      <c r="F37" s="3" t="n"/>
      <c r="G37" s="6">
        <f>IF(E37=0, "N/A", (F37-E37)/E37)</f>
        <v/>
      </c>
      <c r="H37" s="3" t="n">
        <v>6</v>
      </c>
      <c r="I37" s="3" t="n"/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Buzos C Capucha</t>
        </is>
      </c>
      <c r="B38" s="3" t="n">
        <v>2</v>
      </c>
      <c r="C38" s="3" t="n"/>
      <c r="D38" s="6">
        <f>IF(B38=0, "N/A", (C38-B38)/B38)</f>
        <v/>
      </c>
      <c r="E38" s="3" t="n">
        <v>3</v>
      </c>
      <c r="F38" s="3" t="n">
        <v>5</v>
      </c>
      <c r="G38" s="6">
        <f>IF(E38=0, "N/A", (F38-E38)/E38)</f>
        <v/>
      </c>
      <c r="H38" s="3" t="n">
        <v>2</v>
      </c>
      <c r="I38" s="3" t="n">
        <v>1</v>
      </c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Buzos Medio Cierre</t>
        </is>
      </c>
      <c r="B39" s="3" t="n"/>
      <c r="C39" s="3" t="n"/>
      <c r="D39" s="6">
        <f>IF(B39=0, "N/A", (C39-B39)/B39)</f>
        <v/>
      </c>
      <c r="E39" s="3" t="n"/>
      <c r="F39" s="3" t="n">
        <v>2</v>
      </c>
      <c r="G39" s="6">
        <f>IF(E39=0, "N/A", (F39-E39)/E39)</f>
        <v/>
      </c>
      <c r="H39" s="3" t="n">
        <v>-1</v>
      </c>
      <c r="I39" s="3" t="n"/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Calzado</t>
        </is>
      </c>
      <c r="B40" s="3" t="n">
        <v>14</v>
      </c>
      <c r="C40" s="3" t="n">
        <v>8</v>
      </c>
      <c r="D40" s="6">
        <f>IF(B40=0, "N/A", (C40-B40)/B40)</f>
        <v/>
      </c>
      <c r="E40" s="3" t="n">
        <v>15</v>
      </c>
      <c r="F40" s="3" t="n">
        <v>11</v>
      </c>
      <c r="G40" s="6">
        <f>IF(E40=0, "N/A", (F40-E40)/E40)</f>
        <v/>
      </c>
      <c r="H40" s="3" t="n">
        <v>27</v>
      </c>
      <c r="I40" s="3" t="n">
        <v>8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Camisas</t>
        </is>
      </c>
      <c r="B41" s="3" t="n">
        <v>5</v>
      </c>
      <c r="C41" s="3" t="n">
        <v>14</v>
      </c>
      <c r="D41" s="6">
        <f>IF(B41=0, "N/A", (C41-B41)/B41)</f>
        <v/>
      </c>
      <c r="E41" s="3" t="n">
        <v>4</v>
      </c>
      <c r="F41" s="3" t="n">
        <v>8</v>
      </c>
      <c r="G41" s="6">
        <f>IF(E41=0, "N/A", (F41-E41)/E41)</f>
        <v/>
      </c>
      <c r="H41" s="3" t="n">
        <v>6</v>
      </c>
      <c r="I41" s="3" t="n">
        <v>37</v>
      </c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Camisetas Manga Larga</t>
        </is>
      </c>
      <c r="B42" s="3" t="n"/>
      <c r="C42" s="3" t="n"/>
      <c r="D42" s="6">
        <f>IF(B42=0, "N/A", (C42-B42)/B42)</f>
        <v/>
      </c>
      <c r="E42" s="3" t="n"/>
      <c r="F42" s="3" t="n">
        <v>2</v>
      </c>
      <c r="G42" s="6">
        <f>IF(E42=0, "N/A", (F42-E42)/E42)</f>
        <v/>
      </c>
      <c r="H42" s="3" t="n"/>
      <c r="I42" s="3" t="n"/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Campera Capucha Rustico</t>
        </is>
      </c>
      <c r="B43" s="3" t="n"/>
      <c r="C43" s="3" t="n"/>
      <c r="D43" s="6">
        <f>IF(B43=0, "N/A", (C43-B43)/B43)</f>
        <v/>
      </c>
      <c r="E43" s="3" t="n"/>
      <c r="F43" s="3" t="n"/>
      <c r="G43" s="6">
        <f>IF(E43=0, "N/A", (F43-E43)/E43)</f>
        <v/>
      </c>
      <c r="H43" s="3" t="n"/>
      <c r="I43" s="3" t="n">
        <v>2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Campera S Capucha</t>
        </is>
      </c>
      <c r="B44" s="3" t="n">
        <v>1</v>
      </c>
      <c r="C44" s="3" t="n"/>
      <c r="D44" s="6">
        <f>IF(B44=0, "N/A", (C44-B44)/B44)</f>
        <v/>
      </c>
      <c r="E44" s="3" t="n">
        <v>1</v>
      </c>
      <c r="F44" s="3" t="n">
        <v>-1</v>
      </c>
      <c r="G44" s="6">
        <f>IF(E44=0, "N/A", (F44-E44)/E44)</f>
        <v/>
      </c>
      <c r="H44" s="3" t="n"/>
      <c r="I44" s="3" t="n"/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Camperas Capucha</t>
        </is>
      </c>
      <c r="B45" s="3" t="n">
        <v>-1</v>
      </c>
      <c r="C45" s="3" t="n"/>
      <c r="D45" s="6">
        <f>IF(B45=0, "N/A", (C45-B45)/B45)</f>
        <v/>
      </c>
      <c r="E45" s="3" t="n">
        <v>1</v>
      </c>
      <c r="F45" s="3" t="n">
        <v>2</v>
      </c>
      <c r="G45" s="6">
        <f>IF(E45=0, "N/A", (F45-E45)/E45)</f>
        <v/>
      </c>
      <c r="H45" s="3" t="n"/>
      <c r="I45" s="3" t="n">
        <v>1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Camperas De Abrigo</t>
        </is>
      </c>
      <c r="B46" s="3" t="n"/>
      <c r="C46" s="3" t="n"/>
      <c r="D46" s="6">
        <f>IF(B46=0, "N/A", (C46-B46)/B46)</f>
        <v/>
      </c>
      <c r="E46" s="3" t="n"/>
      <c r="F46" s="3" t="n">
        <v>1</v>
      </c>
      <c r="G46" s="6">
        <f>IF(E46=0, "N/A", (F46-E46)/E46)</f>
        <v/>
      </c>
      <c r="H46" s="3" t="n"/>
      <c r="I46" s="3" t="n"/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Chombas</t>
        </is>
      </c>
      <c r="B47" s="3" t="n">
        <v>59</v>
      </c>
      <c r="C47" s="3" t="n">
        <v>35</v>
      </c>
      <c r="D47" s="6">
        <f>IF(B47=0, "N/A", (C47-B47)/B47)</f>
        <v/>
      </c>
      <c r="E47" s="3" t="n">
        <v>78</v>
      </c>
      <c r="F47" s="3" t="n">
        <v>53</v>
      </c>
      <c r="G47" s="6">
        <f>IF(E47=0, "N/A", (F47-E47)/E47)</f>
        <v/>
      </c>
      <c r="H47" s="3" t="n">
        <v>17</v>
      </c>
      <c r="I47" s="3" t="n">
        <v>96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Jeans</t>
        </is>
      </c>
      <c r="B48" s="3" t="n">
        <v>9</v>
      </c>
      <c r="C48" s="3" t="n">
        <v>14</v>
      </c>
      <c r="D48" s="6">
        <f>IF(B48=0, "N/A", (C48-B48)/B48)</f>
        <v/>
      </c>
      <c r="E48" s="3" t="n">
        <v>40</v>
      </c>
      <c r="F48" s="3" t="n">
        <v>26</v>
      </c>
      <c r="G48" s="6">
        <f>IF(E48=0, "N/A", (F48-E48)/E48)</f>
        <v/>
      </c>
      <c r="H48" s="3" t="n">
        <v>44</v>
      </c>
      <c r="I48" s="3" t="n">
        <v>70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Jogging</t>
        </is>
      </c>
      <c r="B49" s="3" t="n">
        <v>1</v>
      </c>
      <c r="C49" s="3" t="n">
        <v>1</v>
      </c>
      <c r="D49" s="6">
        <f>IF(B49=0, "N/A", (C49-B49)/B49)</f>
        <v/>
      </c>
      <c r="E49" s="3" t="n">
        <v>1</v>
      </c>
      <c r="F49" s="3" t="n">
        <v>-1</v>
      </c>
      <c r="G49" s="6">
        <f>IF(E49=0, "N/A", (F49-E49)/E49)</f>
        <v/>
      </c>
      <c r="H49" s="3" t="n"/>
      <c r="I49" s="3" t="n">
        <v>1</v>
      </c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Jogging Corto</t>
        </is>
      </c>
      <c r="B50" s="3" t="n"/>
      <c r="C50" s="3" t="n">
        <v>1</v>
      </c>
      <c r="D50" s="6">
        <f>IF(B50=0, "N/A", (C50-B50)/B50)</f>
        <v/>
      </c>
      <c r="E50" s="3" t="n"/>
      <c r="F50" s="3" t="n">
        <v>4</v>
      </c>
      <c r="G50" s="6">
        <f>IF(E50=0, "N/A", (F50-E50)/E50)</f>
        <v/>
      </c>
      <c r="H50" s="3" t="n"/>
      <c r="I50" s="3" t="n">
        <v>10</v>
      </c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Musculosas</t>
        </is>
      </c>
      <c r="B51" s="3" t="n">
        <v>52</v>
      </c>
      <c r="C51" s="3" t="n">
        <v>24</v>
      </c>
      <c r="D51" s="6">
        <f>IF(B51=0, "N/A", (C51-B51)/B51)</f>
        <v/>
      </c>
      <c r="E51" s="3" t="n">
        <v>20</v>
      </c>
      <c r="F51" s="3" t="n">
        <v>24</v>
      </c>
      <c r="G51" s="6">
        <f>IF(E51=0, "N/A", (F51-E51)/E51)</f>
        <v/>
      </c>
      <c r="H51" s="3" t="n">
        <v>3</v>
      </c>
      <c r="I51" s="3" t="n">
        <v>19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Other</t>
        </is>
      </c>
      <c r="B52" s="3" t="n">
        <v>16</v>
      </c>
      <c r="C52" s="3" t="n"/>
      <c r="D52" s="6">
        <f>IF(B52=0, "N/A", (C52-B52)/B52)</f>
        <v/>
      </c>
      <c r="E52" s="3" t="n">
        <v>17</v>
      </c>
      <c r="F52" s="3" t="n">
        <v>2</v>
      </c>
      <c r="G52" s="6">
        <f>IF(E52=0, "N/A", (F52-E52)/E52)</f>
        <v/>
      </c>
      <c r="H52" s="3" t="n"/>
      <c r="I52" s="3" t="n"/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Remeras</t>
        </is>
      </c>
      <c r="B53" s="3" t="n">
        <v>291</v>
      </c>
      <c r="C53" s="3" t="n">
        <v>221</v>
      </c>
      <c r="D53" s="6">
        <f>IF(B53=0, "N/A", (C53-B53)/B53)</f>
        <v/>
      </c>
      <c r="E53" s="3" t="n">
        <v>400</v>
      </c>
      <c r="F53" s="3" t="n">
        <v>251</v>
      </c>
      <c r="G53" s="6">
        <f>IF(E53=0, "N/A", (F53-E53)/E53)</f>
        <v/>
      </c>
      <c r="H53" s="3" t="n">
        <v>1041</v>
      </c>
      <c r="I53" s="3" t="n">
        <v>706</v>
      </c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Sweaters</t>
        </is>
      </c>
      <c r="B54" s="3" t="n"/>
      <c r="C54" s="3" t="n"/>
      <c r="D54" s="6">
        <f>IF(B54=0, "N/A", (C54-B54)/B54)</f>
        <v/>
      </c>
      <c r="E54" s="3" t="n"/>
      <c r="F54" s="3" t="n">
        <v>3</v>
      </c>
      <c r="G54" s="6">
        <f>IF(E54=0, "N/A", (F54-E54)/E54)</f>
        <v/>
      </c>
      <c r="H54" s="3" t="n"/>
      <c r="I54" s="3" t="n">
        <v>2</v>
      </c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2" t="inlineStr">
        <is>
          <t>Trajes De Baño</t>
        </is>
      </c>
      <c r="B55" s="3" t="n">
        <v>28</v>
      </c>
      <c r="C55" s="3" t="n">
        <v>36</v>
      </c>
      <c r="D55" s="6">
        <f>IF(B55=0, "N/A", (C55-B55)/B55)</f>
        <v/>
      </c>
      <c r="E55" s="3" t="n">
        <v>43</v>
      </c>
      <c r="F55" s="3" t="n">
        <v>8</v>
      </c>
      <c r="G55" s="6">
        <f>IF(E55=0, "N/A", (F55-E55)/E55)</f>
        <v/>
      </c>
      <c r="H55" s="3" t="n">
        <v>14</v>
      </c>
      <c r="I55" s="3" t="n">
        <v>79</v>
      </c>
      <c r="J55" s="6">
        <f>IF(H55=0, "N/A", (I55-H55)/H55)</f>
        <v/>
      </c>
      <c r="K55" s="3">
        <f>B55+E55+H55</f>
        <v/>
      </c>
      <c r="L55" s="3">
        <f>C55+F55+I55</f>
        <v/>
      </c>
      <c r="M55" s="6">
        <f>IF(K55=0, "N/A", (L55-K55)/K55)</f>
        <v/>
      </c>
    </row>
    <row r="56">
      <c r="A56" s="5" t="inlineStr">
        <is>
          <t>Totals</t>
        </is>
      </c>
      <c r="B56" s="4">
        <f>SUM($B32:$B55)</f>
        <v/>
      </c>
      <c r="C56" s="4">
        <f>SUM($C32:$C55)</f>
        <v/>
      </c>
      <c r="D56" s="7">
        <f>IF(B56=0, "N/A", (C56-B56)/B56)</f>
        <v/>
      </c>
      <c r="E56" s="4">
        <f>SUM($E32:$E55)</f>
        <v/>
      </c>
      <c r="F56" s="4">
        <f>SUM($F32:$F55)</f>
        <v/>
      </c>
      <c r="G56" s="7">
        <f>IF(E56=0, "N/A", (F56-E56)/E56)</f>
        <v/>
      </c>
      <c r="H56" s="4">
        <f>SUM($H32:$H55)</f>
        <v/>
      </c>
      <c r="I56" s="4">
        <f>SUM($I32:$I55)</f>
        <v/>
      </c>
      <c r="J56" s="7">
        <f>IF(H56=0, "N/A", (I56-H56)/H56)</f>
        <v/>
      </c>
      <c r="K56" s="4">
        <f>SUM($K32:$K55)</f>
        <v/>
      </c>
      <c r="L56" s="4">
        <f>SUM($L32:$L55)</f>
        <v/>
      </c>
      <c r="M56" s="7">
        <f>IF(K56=0, "N/A", (L56-K56)/K56)</f>
        <v/>
      </c>
    </row>
    <row r="59">
      <c r="A59" s="1" t="inlineStr">
        <is>
          <t>YoY Comparison - Branch Group 2</t>
        </is>
      </c>
    </row>
    <row r="60">
      <c r="B60" s="1" t="inlineStr">
        <is>
          <t>VIRREYES</t>
        </is>
      </c>
      <c r="C60" s="1" t="n"/>
      <c r="D60" s="1" t="n"/>
    </row>
    <row r="61">
      <c r="A61" s="1" t="inlineStr">
        <is>
          <t>Familias</t>
        </is>
      </c>
      <c r="B61" s="1" t="n">
        <v>2025</v>
      </c>
      <c r="C61" s="1" t="n">
        <v>2026</v>
      </c>
      <c r="D61" s="1" t="inlineStr">
        <is>
          <t>%</t>
        </is>
      </c>
    </row>
    <row r="62">
      <c r="A62" s="2" t="inlineStr">
        <is>
          <t>Accesorios</t>
        </is>
      </c>
      <c r="B62" s="3" t="n">
        <v>1</v>
      </c>
      <c r="C62" s="3" t="n">
        <v>4</v>
      </c>
      <c r="D62" s="6">
        <f>IF(B62=0, "N/A", (C62-B62)/B62)</f>
        <v/>
      </c>
    </row>
    <row r="63">
      <c r="A63" s="2" t="inlineStr">
        <is>
          <t>Bermudas</t>
        </is>
      </c>
      <c r="B63" s="3" t="n">
        <v>4</v>
      </c>
      <c r="C63" s="3" t="n">
        <v>11</v>
      </c>
      <c r="D63" s="6">
        <f>IF(B63=0, "N/A", (C63-B63)/B63)</f>
        <v/>
      </c>
    </row>
    <row r="64">
      <c r="A64" s="2" t="inlineStr">
        <is>
          <t>Boxer</t>
        </is>
      </c>
      <c r="B64" s="3" t="n"/>
      <c r="C64" s="3" t="n">
        <v>1</v>
      </c>
      <c r="D64" s="6">
        <f>IF(B64=0, "N/A", (C64-B64)/B64)</f>
        <v/>
      </c>
    </row>
    <row r="65">
      <c r="A65" s="2" t="inlineStr">
        <is>
          <t>Calzado</t>
        </is>
      </c>
      <c r="B65" s="3" t="n">
        <v>3</v>
      </c>
      <c r="C65" s="3" t="n"/>
      <c r="D65" s="6">
        <f>IF(B65=0, "N/A", (C65-B65)/B65)</f>
        <v/>
      </c>
    </row>
    <row r="66">
      <c r="A66" s="2" t="inlineStr">
        <is>
          <t>Camisas</t>
        </is>
      </c>
      <c r="B66" s="3" t="n">
        <v>-1</v>
      </c>
      <c r="C66" s="3" t="n"/>
      <c r="D66" s="6">
        <f>IF(B66=0, "N/A", (C66-B66)/B66)</f>
        <v/>
      </c>
    </row>
    <row r="67">
      <c r="A67" s="2" t="inlineStr">
        <is>
          <t>Chombas</t>
        </is>
      </c>
      <c r="B67" s="3" t="n">
        <v>1</v>
      </c>
      <c r="C67" s="3" t="n"/>
      <c r="D67" s="6">
        <f>IF(B67=0, "N/A", (C67-B67)/B67)</f>
        <v/>
      </c>
    </row>
    <row r="68">
      <c r="A68" s="2" t="inlineStr">
        <is>
          <t>Jeans</t>
        </is>
      </c>
      <c r="B68" s="3" t="n">
        <v>2</v>
      </c>
      <c r="C68" s="3" t="n">
        <v>2</v>
      </c>
      <c r="D68" s="6">
        <f>IF(B68=0, "N/A", (C68-B68)/B68)</f>
        <v/>
      </c>
    </row>
    <row r="69">
      <c r="A69" s="2" t="inlineStr">
        <is>
          <t>Jogging Corto</t>
        </is>
      </c>
      <c r="B69" s="3" t="n">
        <v>4</v>
      </c>
      <c r="C69" s="3" t="n">
        <v>4</v>
      </c>
      <c r="D69" s="6">
        <f>IF(B69=0, "N/A", (C69-B69)/B69)</f>
        <v/>
      </c>
    </row>
    <row r="70">
      <c r="A70" s="2" t="inlineStr">
        <is>
          <t>Musculosas</t>
        </is>
      </c>
      <c r="B70" s="3" t="n">
        <v>8</v>
      </c>
      <c r="C70" s="3" t="n">
        <v>2</v>
      </c>
      <c r="D70" s="6">
        <f>IF(B70=0, "N/A", (C70-B70)/B70)</f>
        <v/>
      </c>
    </row>
    <row r="71">
      <c r="A71" s="2" t="inlineStr">
        <is>
          <t>Other</t>
        </is>
      </c>
      <c r="B71" s="3" t="n"/>
      <c r="C71" s="3" t="n"/>
      <c r="D71" s="6">
        <f>IF(B71=0, "N/A", (C71-B71)/B71)</f>
        <v/>
      </c>
    </row>
    <row r="72">
      <c r="A72" s="2" t="inlineStr">
        <is>
          <t>Remeras</t>
        </is>
      </c>
      <c r="B72" s="3" t="n">
        <v>80</v>
      </c>
      <c r="C72" s="3" t="n">
        <v>40</v>
      </c>
      <c r="D72" s="6">
        <f>IF(B72=0, "N/A", (C72-B72)/B72)</f>
        <v/>
      </c>
    </row>
    <row r="73">
      <c r="A73" s="2" t="inlineStr">
        <is>
          <t>Trajes De Baño</t>
        </is>
      </c>
      <c r="B73" s="3" t="n">
        <v>8</v>
      </c>
      <c r="C73" s="3" t="n">
        <v>9</v>
      </c>
      <c r="D73" s="6">
        <f>IF(B73=0, "N/A", (C73-B73)/B73)</f>
        <v/>
      </c>
    </row>
    <row r="74">
      <c r="A74" s="5" t="inlineStr">
        <is>
          <t>Totals</t>
        </is>
      </c>
      <c r="B74" s="4">
        <f>SUM($B62:$B73)</f>
        <v/>
      </c>
      <c r="C74" s="4">
        <f>SUM($C62:$C73)</f>
        <v/>
      </c>
      <c r="D74" s="7">
        <f>IF(B74=0, "N/A", (C74-B74)/B74)</f>
        <v/>
      </c>
    </row>
  </sheetData>
  <mergeCells count="8">
    <mergeCell ref="B30:C30"/>
    <mergeCell ref="K30:L30"/>
    <mergeCell ref="E30:F30"/>
    <mergeCell ref="A1:F1"/>
    <mergeCell ref="A59:D59"/>
    <mergeCell ref="B60:C60"/>
    <mergeCell ref="A29:M29"/>
    <mergeCell ref="H30:I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Sales from February 01, 2026 to February 28,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19</v>
      </c>
      <c r="C3" s="3" t="n">
        <v>16</v>
      </c>
      <c r="D3" s="3" t="n">
        <v>19</v>
      </c>
      <c r="E3" s="3" t="n">
        <v>1</v>
      </c>
      <c r="F3" s="4">
        <f>B3+C3+D3+E3</f>
        <v/>
      </c>
    </row>
    <row r="4">
      <c r="A4" s="2" t="inlineStr">
        <is>
          <t>Bermudas</t>
        </is>
      </c>
      <c r="B4" s="3" t="n">
        <v>18</v>
      </c>
      <c r="C4" s="3" t="n">
        <v>27</v>
      </c>
      <c r="D4" s="3" t="n">
        <v>84</v>
      </c>
      <c r="E4" s="3" t="n">
        <v>7</v>
      </c>
      <c r="F4" s="4">
        <f>B4+C4+D4+E4</f>
        <v/>
      </c>
    </row>
    <row r="5">
      <c r="A5" s="2" t="inlineStr">
        <is>
          <t>Boxer</t>
        </is>
      </c>
      <c r="B5" s="3" t="n">
        <v>5</v>
      </c>
      <c r="C5" s="3" t="n">
        <v>14</v>
      </c>
      <c r="D5" s="3" t="n">
        <v>59</v>
      </c>
      <c r="E5" s="3" t="n">
        <v>2</v>
      </c>
      <c r="F5" s="4">
        <f>B5+C5+D5+E5</f>
        <v/>
      </c>
    </row>
    <row r="6">
      <c r="A6" s="2" t="inlineStr">
        <is>
          <t>Buzo C Capucha Rustico</t>
        </is>
      </c>
      <c r="B6" s="3" t="n"/>
      <c r="C6" s="3" t="n"/>
      <c r="D6" s="3" t="n">
        <v>2</v>
      </c>
      <c r="E6" s="3" t="n"/>
      <c r="F6" s="4">
        <f>B6+C6+D6+E6</f>
        <v/>
      </c>
    </row>
    <row r="7">
      <c r="A7" s="2" t="inlineStr">
        <is>
          <t>Buzo Cuello Redondo</t>
        </is>
      </c>
      <c r="B7" s="3" t="n"/>
      <c r="C7" s="3" t="n"/>
      <c r="D7" s="3" t="n">
        <v>8</v>
      </c>
      <c r="E7" s="3" t="n"/>
      <c r="F7" s="4">
        <f>B7+C7+D7+E7</f>
        <v/>
      </c>
    </row>
    <row r="8">
      <c r="A8" s="2" t="inlineStr">
        <is>
          <t>Buzos C Capucha</t>
        </is>
      </c>
      <c r="B8" s="3" t="n">
        <v>5</v>
      </c>
      <c r="C8" s="3" t="n">
        <v>1</v>
      </c>
      <c r="D8" s="3" t="n">
        <v>24</v>
      </c>
      <c r="E8" s="3" t="n">
        <v>3</v>
      </c>
      <c r="F8" s="4">
        <f>B8+C8+D8+E8</f>
        <v/>
      </c>
    </row>
    <row r="9">
      <c r="A9" s="2" t="inlineStr">
        <is>
          <t>Buzos Medio Cierre</t>
        </is>
      </c>
      <c r="B9" s="3" t="n">
        <v>3</v>
      </c>
      <c r="C9" s="3" t="n">
        <v>2</v>
      </c>
      <c r="D9" s="3" t="n">
        <v>8</v>
      </c>
      <c r="E9" s="3" t="n"/>
      <c r="F9" s="4">
        <f>B9+C9+D9+E9</f>
        <v/>
      </c>
    </row>
    <row r="10">
      <c r="A10" s="2" t="inlineStr">
        <is>
          <t>Calzado</t>
        </is>
      </c>
      <c r="B10" s="3" t="n">
        <v>7</v>
      </c>
      <c r="C10" s="3" t="n">
        <v>3</v>
      </c>
      <c r="D10" s="3" t="n">
        <v>4</v>
      </c>
      <c r="E10" s="3" t="n"/>
      <c r="F10" s="4">
        <f>B10+C10+D10+E10</f>
        <v/>
      </c>
    </row>
    <row r="11">
      <c r="A11" s="2" t="inlineStr">
        <is>
          <t>Camisas</t>
        </is>
      </c>
      <c r="B11" s="3" t="n">
        <v>3</v>
      </c>
      <c r="C11" s="3" t="n">
        <v>5</v>
      </c>
      <c r="D11" s="3" t="n">
        <v>12</v>
      </c>
      <c r="E11" s="3" t="n"/>
      <c r="F11" s="4">
        <f>B11+C11+D11+E11</f>
        <v/>
      </c>
    </row>
    <row r="12">
      <c r="A12" s="2" t="inlineStr">
        <is>
          <t>Camisetas Manga Larga</t>
        </is>
      </c>
      <c r="B12" s="3" t="n"/>
      <c r="C12" s="3" t="n">
        <v>3</v>
      </c>
      <c r="D12" s="3" t="n">
        <v>9</v>
      </c>
      <c r="E12" s="3" t="n"/>
      <c r="F12" s="4">
        <f>B12+C12+D12+E12</f>
        <v/>
      </c>
    </row>
    <row r="13">
      <c r="A13" s="2" t="inlineStr">
        <is>
          <t>Campera S Capucha</t>
        </is>
      </c>
      <c r="B13" s="3" t="n"/>
      <c r="C13" s="3" t="n">
        <v>3</v>
      </c>
      <c r="D13" s="3" t="n"/>
      <c r="E13" s="3" t="n"/>
      <c r="F13" s="4">
        <f>B13+C13+D13+E13</f>
        <v/>
      </c>
    </row>
    <row r="14">
      <c r="A14" s="2" t="inlineStr">
        <is>
          <t>Camperas Capucha</t>
        </is>
      </c>
      <c r="B14" s="3" t="n">
        <v>1</v>
      </c>
      <c r="C14" s="3" t="n">
        <v>6</v>
      </c>
      <c r="D14" s="3" t="n">
        <v>27</v>
      </c>
      <c r="E14" s="3" t="n">
        <v>3</v>
      </c>
      <c r="F14" s="4">
        <f>B14+C14+D14+E14</f>
        <v/>
      </c>
    </row>
    <row r="15">
      <c r="A15" s="2" t="inlineStr">
        <is>
          <t>Chombas</t>
        </is>
      </c>
      <c r="B15" s="3" t="n">
        <v>39</v>
      </c>
      <c r="C15" s="3" t="n">
        <v>81</v>
      </c>
      <c r="D15" s="3" t="n">
        <v>60</v>
      </c>
      <c r="E15" s="3" t="n">
        <v>2</v>
      </c>
      <c r="F15" s="4">
        <f>B15+C15+D15+E15</f>
        <v/>
      </c>
    </row>
    <row r="16">
      <c r="A16" s="2" t="inlineStr">
        <is>
          <t>Chombas Manga Larga</t>
        </is>
      </c>
      <c r="B16" s="3" t="n">
        <v>2</v>
      </c>
      <c r="C16" s="3" t="n">
        <v>2</v>
      </c>
      <c r="D16" s="3" t="n">
        <v>1</v>
      </c>
      <c r="E16" s="3" t="n"/>
      <c r="F16" s="4">
        <f>B16+C16+D16+E16</f>
        <v/>
      </c>
    </row>
    <row r="17">
      <c r="A17" s="2" t="inlineStr">
        <is>
          <t>Jeans</t>
        </is>
      </c>
      <c r="B17" s="3" t="n">
        <v>41</v>
      </c>
      <c r="C17" s="3" t="n">
        <v>46</v>
      </c>
      <c r="D17" s="3" t="n">
        <v>139</v>
      </c>
      <c r="E17" s="3" t="n">
        <v>9</v>
      </c>
      <c r="F17" s="4">
        <f>B17+C17+D17+E17</f>
        <v/>
      </c>
    </row>
    <row r="18">
      <c r="A18" s="2" t="inlineStr">
        <is>
          <t>Jogging</t>
        </is>
      </c>
      <c r="B18" s="3" t="n"/>
      <c r="C18" s="3" t="n">
        <v>2</v>
      </c>
      <c r="D18" s="3" t="n">
        <v>26</v>
      </c>
      <c r="E18" s="3" t="n"/>
      <c r="F18" s="4">
        <f>B18+C18+D18+E18</f>
        <v/>
      </c>
    </row>
    <row r="19">
      <c r="A19" s="2" t="inlineStr">
        <is>
          <t>Jogging Corto</t>
        </is>
      </c>
      <c r="B19" s="3" t="n">
        <v>1</v>
      </c>
      <c r="C19" s="3" t="n">
        <v>1</v>
      </c>
      <c r="D19" s="3" t="n">
        <v>1</v>
      </c>
      <c r="E19" s="3" t="n"/>
      <c r="F19" s="4">
        <f>B19+C19+D19+E19</f>
        <v/>
      </c>
    </row>
    <row r="20">
      <c r="A20" s="2" t="inlineStr">
        <is>
          <t>Musculosas</t>
        </is>
      </c>
      <c r="B20" s="3" t="n">
        <v>15</v>
      </c>
      <c r="C20" s="3" t="n">
        <v>-2</v>
      </c>
      <c r="D20" s="3" t="n">
        <v>31</v>
      </c>
      <c r="E20" s="3" t="n">
        <v>2</v>
      </c>
      <c r="F20" s="4">
        <f>B20+C20+D20+E20</f>
        <v/>
      </c>
    </row>
    <row r="21">
      <c r="A21" s="2" t="inlineStr">
        <is>
          <t>Remeras</t>
        </is>
      </c>
      <c r="B21" s="3" t="n">
        <v>295</v>
      </c>
      <c r="C21" s="3" t="n">
        <v>405</v>
      </c>
      <c r="D21" s="3" t="n">
        <v>537</v>
      </c>
      <c r="E21" s="3" t="n">
        <v>51</v>
      </c>
      <c r="F21" s="4">
        <f>B21+C21+D21+E21</f>
        <v/>
      </c>
    </row>
    <row r="22">
      <c r="A22" s="2" t="inlineStr">
        <is>
          <t>Sweaters</t>
        </is>
      </c>
      <c r="B22" s="3" t="n"/>
      <c r="C22" s="3" t="n"/>
      <c r="D22" s="3" t="n">
        <v>2</v>
      </c>
      <c r="E22" s="3" t="n"/>
      <c r="F22" s="4">
        <f>B22+C22+D22+E22</f>
        <v/>
      </c>
    </row>
    <row r="23">
      <c r="A23" s="2" t="inlineStr">
        <is>
          <t>Trajes De Baño</t>
        </is>
      </c>
      <c r="B23" s="3" t="n">
        <v>2</v>
      </c>
      <c r="C23" s="3" t="n">
        <v>7</v>
      </c>
      <c r="D23" s="3" t="n">
        <v>42</v>
      </c>
      <c r="E23" s="3" t="n">
        <v>3</v>
      </c>
      <c r="F23" s="4">
        <f>B23+C23+D23+E23</f>
        <v/>
      </c>
    </row>
    <row r="24">
      <c r="A24" s="5" t="inlineStr">
        <is>
          <t>Totals</t>
        </is>
      </c>
      <c r="B24" s="4">
        <f>SUM($B$3:$B$23)</f>
        <v/>
      </c>
      <c r="C24" s="4">
        <f>SUM($C$3:$C$23)</f>
        <v/>
      </c>
      <c r="D24" s="4">
        <f>SUM($D$3:$D$23)</f>
        <v/>
      </c>
      <c r="E24" s="4">
        <f>SUM($E$3:$E$23)</f>
        <v/>
      </c>
      <c r="F24" s="4">
        <f>SUM($F$3:$F$23)</f>
        <v/>
      </c>
    </row>
    <row r="27">
      <c r="A27" s="1" t="inlineStr">
        <is>
          <t>YoY Comparison - Branch Group 1</t>
        </is>
      </c>
    </row>
    <row r="28">
      <c r="B28" s="1" t="inlineStr">
        <is>
          <t>LIBERT.R</t>
        </is>
      </c>
      <c r="C28" s="1" t="n"/>
      <c r="D28" s="1" t="n"/>
      <c r="E28" s="1" t="inlineStr">
        <is>
          <t>PASO.R</t>
        </is>
      </c>
      <c r="F28" s="1" t="n"/>
      <c r="G28" s="1" t="n"/>
      <c r="H28" s="1" t="inlineStr">
        <is>
          <t>P.OESTE</t>
        </is>
      </c>
      <c r="I28" s="1" t="n"/>
      <c r="J28" s="1" t="n"/>
      <c r="K28" s="1" t="inlineStr">
        <is>
          <t>Global</t>
        </is>
      </c>
      <c r="L28" s="1" t="n"/>
      <c r="M28" s="1" t="n"/>
    </row>
    <row r="29">
      <c r="A29" s="1" t="inlineStr">
        <is>
          <t>Familias</t>
        </is>
      </c>
      <c r="B29" s="1" t="n">
        <v>2025</v>
      </c>
      <c r="C29" s="1" t="n">
        <v>2026</v>
      </c>
      <c r="D29" s="1" t="inlineStr">
        <is>
          <t>%</t>
        </is>
      </c>
      <c r="E29" s="1" t="n">
        <v>2025</v>
      </c>
      <c r="F29" s="1" t="n">
        <v>2026</v>
      </c>
      <c r="G29" s="1" t="inlineStr">
        <is>
          <t>%</t>
        </is>
      </c>
      <c r="H29" s="1" t="n">
        <v>2025</v>
      </c>
      <c r="I29" s="1" t="n">
        <v>2026</v>
      </c>
      <c r="J29" s="1" t="inlineStr">
        <is>
          <t>%</t>
        </is>
      </c>
      <c r="K29" s="1" t="n">
        <v>2025</v>
      </c>
      <c r="L29" s="1" t="n">
        <v>2026</v>
      </c>
      <c r="M29" s="1" t="inlineStr">
        <is>
          <t>%</t>
        </is>
      </c>
    </row>
    <row r="30">
      <c r="A30" s="2" t="inlineStr">
        <is>
          <t>Accesorios</t>
        </is>
      </c>
      <c r="B30" s="3" t="n">
        <v>12</v>
      </c>
      <c r="C30" s="3" t="n">
        <v>19</v>
      </c>
      <c r="D30" s="6">
        <f>IF(B30=0, "N/A", (C30-B30)/B30)</f>
        <v/>
      </c>
      <c r="E30" s="3" t="n">
        <v>9</v>
      </c>
      <c r="F30" s="3" t="n">
        <v>16</v>
      </c>
      <c r="G30" s="6">
        <f>IF(E30=0, "N/A", (F30-E30)/E30)</f>
        <v/>
      </c>
      <c r="H30" s="3" t="n">
        <v>36</v>
      </c>
      <c r="I30" s="3" t="n">
        <v>19</v>
      </c>
      <c r="J30" s="6">
        <f>IF(H30=0, "N/A", (I30-H30)/H30)</f>
        <v/>
      </c>
      <c r="K30" s="3">
        <f>B30+E30+H30</f>
        <v/>
      </c>
      <c r="L30" s="3">
        <f>C30+F30+I30</f>
        <v/>
      </c>
      <c r="M30" s="6">
        <f>IF(K30=0, "N/A", (L30-K30)/K30)</f>
        <v/>
      </c>
    </row>
    <row r="31">
      <c r="A31" s="2" t="inlineStr">
        <is>
          <t>Bermudas</t>
        </is>
      </c>
      <c r="B31" s="3" t="n">
        <v>39</v>
      </c>
      <c r="C31" s="3" t="n">
        <v>18</v>
      </c>
      <c r="D31" s="6">
        <f>IF(B31=0, "N/A", (C31-B31)/B31)</f>
        <v/>
      </c>
      <c r="E31" s="3" t="n">
        <v>44</v>
      </c>
      <c r="F31" s="3" t="n">
        <v>27</v>
      </c>
      <c r="G31" s="6">
        <f>IF(E31=0, "N/A", (F31-E31)/E31)</f>
        <v/>
      </c>
      <c r="H31" s="3" t="n">
        <v>70</v>
      </c>
      <c r="I31" s="3" t="n">
        <v>84</v>
      </c>
      <c r="J31" s="6">
        <f>IF(H31=0, "N/A", (I31-H31)/H31)</f>
        <v/>
      </c>
      <c r="K31" s="3">
        <f>B31+E31+H31</f>
        <v/>
      </c>
      <c r="L31" s="3">
        <f>C31+F31+I31</f>
        <v/>
      </c>
      <c r="M31" s="6">
        <f>IF(K31=0, "N/A", (L31-K31)/K31)</f>
        <v/>
      </c>
    </row>
    <row r="32">
      <c r="A32" s="2" t="inlineStr">
        <is>
          <t>Boxer</t>
        </is>
      </c>
      <c r="B32" s="3" t="n"/>
      <c r="C32" s="3" t="n">
        <v>5</v>
      </c>
      <c r="D32" s="6">
        <f>IF(B32=0, "N/A", (C32-B32)/B32)</f>
        <v/>
      </c>
      <c r="E32" s="3" t="n">
        <v>16</v>
      </c>
      <c r="F32" s="3" t="n">
        <v>14</v>
      </c>
      <c r="G32" s="6">
        <f>IF(E32=0, "N/A", (F32-E32)/E32)</f>
        <v/>
      </c>
      <c r="H32" s="3" t="n">
        <v>77</v>
      </c>
      <c r="I32" s="3" t="n">
        <v>59</v>
      </c>
      <c r="J32" s="6">
        <f>IF(H32=0, "N/A", (I32-H32)/H32)</f>
        <v/>
      </c>
      <c r="K32" s="3">
        <f>B32+E32+H32</f>
        <v/>
      </c>
      <c r="L32" s="3">
        <f>C32+F32+I32</f>
        <v/>
      </c>
      <c r="M32" s="6">
        <f>IF(K32=0, "N/A", (L32-K32)/K32)</f>
        <v/>
      </c>
    </row>
    <row r="33">
      <c r="A33" s="2" t="inlineStr">
        <is>
          <t>Buzo C Capucha Rustico</t>
        </is>
      </c>
      <c r="B33" s="3" t="n"/>
      <c r="C33" s="3" t="n"/>
      <c r="D33" s="6">
        <f>IF(B33=0, "N/A", (C33-B33)/B33)</f>
        <v/>
      </c>
      <c r="E33" s="3" t="n"/>
      <c r="F33" s="3" t="n"/>
      <c r="G33" s="6">
        <f>IF(E33=0, "N/A", (F33-E33)/E33)</f>
        <v/>
      </c>
      <c r="H33" s="3" t="n"/>
      <c r="I33" s="3" t="n">
        <v>2</v>
      </c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Buzo Cuello Redondo</t>
        </is>
      </c>
      <c r="B34" s="3" t="n">
        <v>5</v>
      </c>
      <c r="C34" s="3" t="n"/>
      <c r="D34" s="6">
        <f>IF(B34=0, "N/A", (C34-B34)/B34)</f>
        <v/>
      </c>
      <c r="E34" s="3" t="n">
        <v>7</v>
      </c>
      <c r="F34" s="3" t="n"/>
      <c r="G34" s="6">
        <f>IF(E34=0, "N/A", (F34-E34)/E34)</f>
        <v/>
      </c>
      <c r="H34" s="3" t="n">
        <v>20</v>
      </c>
      <c r="I34" s="3" t="n">
        <v>8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Buzos</t>
        </is>
      </c>
      <c r="B35" s="3" t="n">
        <v>3</v>
      </c>
      <c r="C35" s="3" t="n"/>
      <c r="D35" s="6">
        <f>IF(B35=0, "N/A", (C35-B35)/B35)</f>
        <v/>
      </c>
      <c r="E35" s="3" t="n">
        <v>1</v>
      </c>
      <c r="F35" s="3" t="n"/>
      <c r="G35" s="6">
        <f>IF(E35=0, "N/A", (F35-E35)/E35)</f>
        <v/>
      </c>
      <c r="H35" s="3" t="n">
        <v>1</v>
      </c>
      <c r="I35" s="3" t="n"/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Buzos C Capucha</t>
        </is>
      </c>
      <c r="B36" s="3" t="n">
        <v>1</v>
      </c>
      <c r="C36" s="3" t="n">
        <v>5</v>
      </c>
      <c r="D36" s="6">
        <f>IF(B36=0, "N/A", (C36-B36)/B36)</f>
        <v/>
      </c>
      <c r="E36" s="3" t="n">
        <v>5</v>
      </c>
      <c r="F36" s="3" t="n">
        <v>1</v>
      </c>
      <c r="G36" s="6">
        <f>IF(E36=0, "N/A", (F36-E36)/E36)</f>
        <v/>
      </c>
      <c r="H36" s="3" t="n">
        <v>13</v>
      </c>
      <c r="I36" s="3" t="n">
        <v>24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Buzos Medio Cierre</t>
        </is>
      </c>
      <c r="B37" s="3" t="n"/>
      <c r="C37" s="3" t="n">
        <v>3</v>
      </c>
      <c r="D37" s="6">
        <f>IF(B37=0, "N/A", (C37-B37)/B37)</f>
        <v/>
      </c>
      <c r="E37" s="3" t="n"/>
      <c r="F37" s="3" t="n">
        <v>2</v>
      </c>
      <c r="G37" s="6">
        <f>IF(E37=0, "N/A", (F37-E37)/E37)</f>
        <v/>
      </c>
      <c r="H37" s="3" t="n"/>
      <c r="I37" s="3" t="n">
        <v>8</v>
      </c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Calzado</t>
        </is>
      </c>
      <c r="B38" s="3" t="n">
        <v>9</v>
      </c>
      <c r="C38" s="3" t="n">
        <v>7</v>
      </c>
      <c r="D38" s="6">
        <f>IF(B38=0, "N/A", (C38-B38)/B38)</f>
        <v/>
      </c>
      <c r="E38" s="3" t="n">
        <v>8</v>
      </c>
      <c r="F38" s="3" t="n">
        <v>3</v>
      </c>
      <c r="G38" s="6">
        <f>IF(E38=0, "N/A", (F38-E38)/E38)</f>
        <v/>
      </c>
      <c r="H38" s="3" t="n">
        <v>8</v>
      </c>
      <c r="I38" s="3" t="n">
        <v>4</v>
      </c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Camisas</t>
        </is>
      </c>
      <c r="B39" s="3" t="n">
        <v>5</v>
      </c>
      <c r="C39" s="3" t="n">
        <v>3</v>
      </c>
      <c r="D39" s="6">
        <f>IF(B39=0, "N/A", (C39-B39)/B39)</f>
        <v/>
      </c>
      <c r="E39" s="3" t="n">
        <v>1</v>
      </c>
      <c r="F39" s="3" t="n">
        <v>5</v>
      </c>
      <c r="G39" s="6">
        <f>IF(E39=0, "N/A", (F39-E39)/E39)</f>
        <v/>
      </c>
      <c r="H39" s="3" t="n">
        <v>4</v>
      </c>
      <c r="I39" s="3" t="n">
        <v>12</v>
      </c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Camisetas Manga Larga</t>
        </is>
      </c>
      <c r="B40" s="3" t="n"/>
      <c r="C40" s="3" t="n"/>
      <c r="D40" s="6">
        <f>IF(B40=0, "N/A", (C40-B40)/B40)</f>
        <v/>
      </c>
      <c r="E40" s="3" t="n">
        <v>1</v>
      </c>
      <c r="F40" s="3" t="n">
        <v>3</v>
      </c>
      <c r="G40" s="6">
        <f>IF(E40=0, "N/A", (F40-E40)/E40)</f>
        <v/>
      </c>
      <c r="H40" s="3" t="n">
        <v>1</v>
      </c>
      <c r="I40" s="3" t="n">
        <v>9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Campera S Capucha</t>
        </is>
      </c>
      <c r="B41" s="3" t="n"/>
      <c r="C41" s="3" t="n"/>
      <c r="D41" s="6">
        <f>IF(B41=0, "N/A", (C41-B41)/B41)</f>
        <v/>
      </c>
      <c r="E41" s="3" t="n"/>
      <c r="F41" s="3" t="n">
        <v>3</v>
      </c>
      <c r="G41" s="6">
        <f>IF(E41=0, "N/A", (F41-E41)/E41)</f>
        <v/>
      </c>
      <c r="H41" s="3" t="n">
        <v>1</v>
      </c>
      <c r="I41" s="3" t="n"/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Camperas Capucha</t>
        </is>
      </c>
      <c r="B42" s="3" t="n"/>
      <c r="C42" s="3" t="n">
        <v>1</v>
      </c>
      <c r="D42" s="6">
        <f>IF(B42=0, "N/A", (C42-B42)/B42)</f>
        <v/>
      </c>
      <c r="E42" s="3" t="n"/>
      <c r="F42" s="3" t="n">
        <v>6</v>
      </c>
      <c r="G42" s="6">
        <f>IF(E42=0, "N/A", (F42-E42)/E42)</f>
        <v/>
      </c>
      <c r="H42" s="3" t="n">
        <v>14</v>
      </c>
      <c r="I42" s="3" t="n">
        <v>27</v>
      </c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Chombas</t>
        </is>
      </c>
      <c r="B43" s="3" t="n">
        <v>54</v>
      </c>
      <c r="C43" s="3" t="n">
        <v>39</v>
      </c>
      <c r="D43" s="6">
        <f>IF(B43=0, "N/A", (C43-B43)/B43)</f>
        <v/>
      </c>
      <c r="E43" s="3" t="n">
        <v>56</v>
      </c>
      <c r="F43" s="3" t="n">
        <v>81</v>
      </c>
      <c r="G43" s="6">
        <f>IF(E43=0, "N/A", (F43-E43)/E43)</f>
        <v/>
      </c>
      <c r="H43" s="3" t="n">
        <v>19</v>
      </c>
      <c r="I43" s="3" t="n">
        <v>60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Chombas Manga Larga</t>
        </is>
      </c>
      <c r="B44" s="3" t="n"/>
      <c r="C44" s="3" t="n">
        <v>2</v>
      </c>
      <c r="D44" s="6">
        <f>IF(B44=0, "N/A", (C44-B44)/B44)</f>
        <v/>
      </c>
      <c r="E44" s="3" t="n"/>
      <c r="F44" s="3" t="n">
        <v>2</v>
      </c>
      <c r="G44" s="6">
        <f>IF(E44=0, "N/A", (F44-E44)/E44)</f>
        <v/>
      </c>
      <c r="H44" s="3" t="n"/>
      <c r="I44" s="3" t="n">
        <v>1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Jeans</t>
        </is>
      </c>
      <c r="B45" s="3" t="n">
        <v>16</v>
      </c>
      <c r="C45" s="3" t="n">
        <v>41</v>
      </c>
      <c r="D45" s="6">
        <f>IF(B45=0, "N/A", (C45-B45)/B45)</f>
        <v/>
      </c>
      <c r="E45" s="3" t="n">
        <v>54</v>
      </c>
      <c r="F45" s="3" t="n">
        <v>46</v>
      </c>
      <c r="G45" s="6">
        <f>IF(E45=0, "N/A", (F45-E45)/E45)</f>
        <v/>
      </c>
      <c r="H45" s="3" t="n">
        <v>108</v>
      </c>
      <c r="I45" s="3" t="n">
        <v>139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Jogging</t>
        </is>
      </c>
      <c r="B46" s="3" t="n">
        <v>1</v>
      </c>
      <c r="C46" s="3" t="n"/>
      <c r="D46" s="6">
        <f>IF(B46=0, "N/A", (C46-B46)/B46)</f>
        <v/>
      </c>
      <c r="E46" s="3" t="n">
        <v>1</v>
      </c>
      <c r="F46" s="3" t="n">
        <v>2</v>
      </c>
      <c r="G46" s="6">
        <f>IF(E46=0, "N/A", (F46-E46)/E46)</f>
        <v/>
      </c>
      <c r="H46" s="3" t="n">
        <v>4</v>
      </c>
      <c r="I46" s="3" t="n">
        <v>26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Jogging Corto</t>
        </is>
      </c>
      <c r="B47" s="3" t="n"/>
      <c r="C47" s="3" t="n">
        <v>1</v>
      </c>
      <c r="D47" s="6">
        <f>IF(B47=0, "N/A", (C47-B47)/B47)</f>
        <v/>
      </c>
      <c r="E47" s="3" t="n"/>
      <c r="F47" s="3" t="n">
        <v>1</v>
      </c>
      <c r="G47" s="6">
        <f>IF(E47=0, "N/A", (F47-E47)/E47)</f>
        <v/>
      </c>
      <c r="H47" s="3" t="n"/>
      <c r="I47" s="3" t="n">
        <v>1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Musculosas</t>
        </is>
      </c>
      <c r="B48" s="3" t="n">
        <v>23</v>
      </c>
      <c r="C48" s="3" t="n">
        <v>15</v>
      </c>
      <c r="D48" s="6">
        <f>IF(B48=0, "N/A", (C48-B48)/B48)</f>
        <v/>
      </c>
      <c r="E48" s="3" t="n">
        <v>6</v>
      </c>
      <c r="F48" s="3" t="n">
        <v>-2</v>
      </c>
      <c r="G48" s="6">
        <f>IF(E48=0, "N/A", (F48-E48)/E48)</f>
        <v/>
      </c>
      <c r="H48" s="3" t="n">
        <v>1</v>
      </c>
      <c r="I48" s="3" t="n">
        <v>31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Other</t>
        </is>
      </c>
      <c r="B49" s="3" t="n">
        <v>6</v>
      </c>
      <c r="C49" s="3" t="n"/>
      <c r="D49" s="6">
        <f>IF(B49=0, "N/A", (C49-B49)/B49)</f>
        <v/>
      </c>
      <c r="E49" s="3" t="n">
        <v>-1</v>
      </c>
      <c r="F49" s="3" t="n"/>
      <c r="G49" s="6">
        <f>IF(E49=0, "N/A", (F49-E49)/E49)</f>
        <v/>
      </c>
      <c r="H49" s="3" t="n"/>
      <c r="I49" s="3" t="n"/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Remeras</t>
        </is>
      </c>
      <c r="B50" s="3" t="n">
        <v>183</v>
      </c>
      <c r="C50" s="3" t="n">
        <v>295</v>
      </c>
      <c r="D50" s="6">
        <f>IF(B50=0, "N/A", (C50-B50)/B50)</f>
        <v/>
      </c>
      <c r="E50" s="3" t="n">
        <v>338</v>
      </c>
      <c r="F50" s="3" t="n">
        <v>405</v>
      </c>
      <c r="G50" s="6">
        <f>IF(E50=0, "N/A", (F50-E50)/E50)</f>
        <v/>
      </c>
      <c r="H50" s="3" t="n">
        <v>806</v>
      </c>
      <c r="I50" s="3" t="n">
        <v>537</v>
      </c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Sweaters</t>
        </is>
      </c>
      <c r="B51" s="3" t="n"/>
      <c r="C51" s="3" t="n"/>
      <c r="D51" s="6">
        <f>IF(B51=0, "N/A", (C51-B51)/B51)</f>
        <v/>
      </c>
      <c r="E51" s="3" t="n"/>
      <c r="F51" s="3" t="n"/>
      <c r="G51" s="6">
        <f>IF(E51=0, "N/A", (F51-E51)/E51)</f>
        <v/>
      </c>
      <c r="H51" s="3" t="n">
        <v>4</v>
      </c>
      <c r="I51" s="3" t="n">
        <v>2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Trajes De Baño</t>
        </is>
      </c>
      <c r="B52" s="3" t="n">
        <v>17</v>
      </c>
      <c r="C52" s="3" t="n">
        <v>2</v>
      </c>
      <c r="D52" s="6">
        <f>IF(B52=0, "N/A", (C52-B52)/B52)</f>
        <v/>
      </c>
      <c r="E52" s="3" t="n">
        <v>8</v>
      </c>
      <c r="F52" s="3" t="n">
        <v>7</v>
      </c>
      <c r="G52" s="6">
        <f>IF(E52=0, "N/A", (F52-E52)/E52)</f>
        <v/>
      </c>
      <c r="H52" s="3" t="n">
        <v>7</v>
      </c>
      <c r="I52" s="3" t="n">
        <v>42</v>
      </c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5" t="inlineStr">
        <is>
          <t>Totals</t>
        </is>
      </c>
      <c r="B53" s="4">
        <f>SUM($B30:$B52)</f>
        <v/>
      </c>
      <c r="C53" s="4">
        <f>SUM($C30:$C52)</f>
        <v/>
      </c>
      <c r="D53" s="7">
        <f>IF(B53=0, "N/A", (C53-B53)/B53)</f>
        <v/>
      </c>
      <c r="E53" s="4">
        <f>SUM($E30:$E52)</f>
        <v/>
      </c>
      <c r="F53" s="4">
        <f>SUM($F30:$F52)</f>
        <v/>
      </c>
      <c r="G53" s="7">
        <f>IF(E53=0, "N/A", (F53-E53)/E53)</f>
        <v/>
      </c>
      <c r="H53" s="4">
        <f>SUM($H30:$H52)</f>
        <v/>
      </c>
      <c r="I53" s="4">
        <f>SUM($I30:$I52)</f>
        <v/>
      </c>
      <c r="J53" s="7">
        <f>IF(H53=0, "N/A", (I53-H53)/H53)</f>
        <v/>
      </c>
      <c r="K53" s="4">
        <f>SUM($K30:$K52)</f>
        <v/>
      </c>
      <c r="L53" s="4">
        <f>SUM($L30:$L52)</f>
        <v/>
      </c>
      <c r="M53" s="7">
        <f>IF(K53=0, "N/A", (L53-K53)/K53)</f>
        <v/>
      </c>
    </row>
    <row r="56">
      <c r="A56" s="1" t="inlineStr">
        <is>
          <t>YoY Comparison - Branch Group 2</t>
        </is>
      </c>
    </row>
    <row r="57">
      <c r="B57" s="1" t="inlineStr">
        <is>
          <t>VIRREYES</t>
        </is>
      </c>
      <c r="C57" s="1" t="n"/>
      <c r="D57" s="1" t="n"/>
    </row>
    <row r="58">
      <c r="A58" s="1" t="inlineStr">
        <is>
          <t>Familias</t>
        </is>
      </c>
      <c r="B58" s="1" t="n">
        <v>2025</v>
      </c>
      <c r="C58" s="1" t="n">
        <v>2026</v>
      </c>
      <c r="D58" s="1" t="inlineStr">
        <is>
          <t>%</t>
        </is>
      </c>
    </row>
    <row r="59">
      <c r="A59" s="2" t="inlineStr">
        <is>
          <t>Accesorios</t>
        </is>
      </c>
      <c r="B59" s="3" t="n">
        <v>3</v>
      </c>
      <c r="C59" s="3" t="n">
        <v>1</v>
      </c>
      <c r="D59" s="6">
        <f>IF(B59=0, "N/A", (C59-B59)/B59)</f>
        <v/>
      </c>
    </row>
    <row r="60">
      <c r="A60" s="2" t="inlineStr">
        <is>
          <t>Bermudas</t>
        </is>
      </c>
      <c r="B60" s="3" t="n">
        <v>7</v>
      </c>
      <c r="C60" s="3" t="n">
        <v>7</v>
      </c>
      <c r="D60" s="6">
        <f>IF(B60=0, "N/A", (C60-B60)/B60)</f>
        <v/>
      </c>
    </row>
    <row r="61">
      <c r="A61" s="2" t="inlineStr">
        <is>
          <t>Boxer</t>
        </is>
      </c>
      <c r="B61" s="3" t="n">
        <v>1</v>
      </c>
      <c r="C61" s="3" t="n">
        <v>2</v>
      </c>
      <c r="D61" s="6">
        <f>IF(B61=0, "N/A", (C61-B61)/B61)</f>
        <v/>
      </c>
    </row>
    <row r="62">
      <c r="A62" s="2" t="inlineStr">
        <is>
          <t>Buzo Cuello Redondo</t>
        </is>
      </c>
      <c r="B62" s="3" t="n"/>
      <c r="C62" s="3" t="n"/>
      <c r="D62" s="6">
        <f>IF(B62=0, "N/A", (C62-B62)/B62)</f>
        <v/>
      </c>
    </row>
    <row r="63">
      <c r="A63" s="2" t="inlineStr">
        <is>
          <t>Buzos C Capucha</t>
        </is>
      </c>
      <c r="B63" s="3" t="n"/>
      <c r="C63" s="3" t="n">
        <v>3</v>
      </c>
      <c r="D63" s="6">
        <f>IF(B63=0, "N/A", (C63-B63)/B63)</f>
        <v/>
      </c>
    </row>
    <row r="64">
      <c r="A64" s="2" t="inlineStr">
        <is>
          <t>Calzado</t>
        </is>
      </c>
      <c r="B64" s="3" t="n">
        <v>7</v>
      </c>
      <c r="C64" s="3" t="n"/>
      <c r="D64" s="6">
        <f>IF(B64=0, "N/A", (C64-B64)/B64)</f>
        <v/>
      </c>
    </row>
    <row r="65">
      <c r="A65" s="2" t="inlineStr">
        <is>
          <t>Camisas</t>
        </is>
      </c>
      <c r="B65" s="3" t="n">
        <v>4</v>
      </c>
      <c r="C65" s="3" t="n"/>
      <c r="D65" s="6">
        <f>IF(B65=0, "N/A", (C65-B65)/B65)</f>
        <v/>
      </c>
    </row>
    <row r="66">
      <c r="A66" s="2" t="inlineStr">
        <is>
          <t>Camperas Capucha</t>
        </is>
      </c>
      <c r="B66" s="3" t="n"/>
      <c r="C66" s="3" t="n">
        <v>3</v>
      </c>
      <c r="D66" s="6">
        <f>IF(B66=0, "N/A", (C66-B66)/B66)</f>
        <v/>
      </c>
    </row>
    <row r="67">
      <c r="A67" s="2" t="inlineStr">
        <is>
          <t>Chombas</t>
        </is>
      </c>
      <c r="B67" s="3" t="n">
        <v>3</v>
      </c>
      <c r="C67" s="3" t="n">
        <v>2</v>
      </c>
      <c r="D67" s="6">
        <f>IF(B67=0, "N/A", (C67-B67)/B67)</f>
        <v/>
      </c>
    </row>
    <row r="68">
      <c r="A68" s="2" t="inlineStr">
        <is>
          <t>Jeans</t>
        </is>
      </c>
      <c r="B68" s="3" t="n">
        <v>3</v>
      </c>
      <c r="C68" s="3" t="n">
        <v>9</v>
      </c>
      <c r="D68" s="6">
        <f>IF(B68=0, "N/A", (C68-B68)/B68)</f>
        <v/>
      </c>
    </row>
    <row r="69">
      <c r="A69" s="2" t="inlineStr">
        <is>
          <t>Jogging Corto</t>
        </is>
      </c>
      <c r="B69" s="3" t="n">
        <v>1</v>
      </c>
      <c r="C69" s="3" t="n"/>
      <c r="D69" s="6">
        <f>IF(B69=0, "N/A", (C69-B69)/B69)</f>
        <v/>
      </c>
    </row>
    <row r="70">
      <c r="A70" s="2" t="inlineStr">
        <is>
          <t>Musculosas</t>
        </is>
      </c>
      <c r="B70" s="3" t="n">
        <v>1</v>
      </c>
      <c r="C70" s="3" t="n">
        <v>2</v>
      </c>
      <c r="D70" s="6">
        <f>IF(B70=0, "N/A", (C70-B70)/B70)</f>
        <v/>
      </c>
    </row>
    <row r="71">
      <c r="A71" s="2" t="inlineStr">
        <is>
          <t>Other</t>
        </is>
      </c>
      <c r="B71" s="3" t="n">
        <v>1</v>
      </c>
      <c r="C71" s="3" t="n"/>
      <c r="D71" s="6">
        <f>IF(B71=0, "N/A", (C71-B71)/B71)</f>
        <v/>
      </c>
    </row>
    <row r="72">
      <c r="A72" s="2" t="inlineStr">
        <is>
          <t>Remeras</t>
        </is>
      </c>
      <c r="B72" s="3" t="n">
        <v>61</v>
      </c>
      <c r="C72" s="3" t="n">
        <v>51</v>
      </c>
      <c r="D72" s="6">
        <f>IF(B72=0, "N/A", (C72-B72)/B72)</f>
        <v/>
      </c>
    </row>
    <row r="73">
      <c r="A73" s="2" t="inlineStr">
        <is>
          <t>Trajes De Baño</t>
        </is>
      </c>
      <c r="B73" s="3" t="n">
        <v>1</v>
      </c>
      <c r="C73" s="3" t="n">
        <v>3</v>
      </c>
      <c r="D73" s="6">
        <f>IF(B73=0, "N/A", (C73-B73)/B73)</f>
        <v/>
      </c>
    </row>
    <row r="74">
      <c r="A74" s="5" t="inlineStr">
        <is>
          <t>Totals</t>
        </is>
      </c>
      <c r="B74" s="4">
        <f>SUM($B59:$B73)</f>
        <v/>
      </c>
      <c r="C74" s="4">
        <f>SUM($C59:$C73)</f>
        <v/>
      </c>
      <c r="D74" s="7">
        <f>IF(B74=0, "N/A", (C74-B74)/B74)</f>
        <v/>
      </c>
    </row>
  </sheetData>
  <mergeCells count="8">
    <mergeCell ref="A56:D56"/>
    <mergeCell ref="A27:M27"/>
    <mergeCell ref="A1:F1"/>
    <mergeCell ref="B28:C28"/>
    <mergeCell ref="K28:L28"/>
    <mergeCell ref="E28:F28"/>
    <mergeCell ref="H28:I28"/>
    <mergeCell ref="B57:C5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Sales from March 01, 2026 to March 31,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9</v>
      </c>
      <c r="C3" s="3" t="n">
        <v>26</v>
      </c>
      <c r="D3" s="3" t="n">
        <v>52</v>
      </c>
      <c r="E3" s="3" t="n"/>
      <c r="F3" s="4">
        <f>B3+C3+D3+E3</f>
        <v/>
      </c>
    </row>
    <row r="4">
      <c r="A4" s="2" t="inlineStr">
        <is>
          <t>Bermudas</t>
        </is>
      </c>
      <c r="B4" s="3" t="n"/>
      <c r="C4" s="3" t="n">
        <v>5</v>
      </c>
      <c r="D4" s="3" t="n">
        <v>27</v>
      </c>
      <c r="E4" s="3" t="n">
        <v>-1</v>
      </c>
      <c r="F4" s="4">
        <f>B4+C4+D4+E4</f>
        <v/>
      </c>
    </row>
    <row r="5">
      <c r="A5" s="2" t="inlineStr">
        <is>
          <t>Boxer</t>
        </is>
      </c>
      <c r="B5" s="3" t="n">
        <v>1</v>
      </c>
      <c r="C5" s="3" t="n">
        <v>7</v>
      </c>
      <c r="D5" s="3" t="n">
        <v>101</v>
      </c>
      <c r="E5" s="3" t="n">
        <v>3</v>
      </c>
      <c r="F5" s="4">
        <f>B5+C5+D5+E5</f>
        <v/>
      </c>
    </row>
    <row r="6">
      <c r="A6" s="2" t="inlineStr">
        <is>
          <t>Buzo C Capucha Rustico</t>
        </is>
      </c>
      <c r="B6" s="3" t="n"/>
      <c r="C6" s="3" t="n"/>
      <c r="D6" s="3" t="n">
        <v>4</v>
      </c>
      <c r="E6" s="3" t="n"/>
      <c r="F6" s="4">
        <f>B6+C6+D6+E6</f>
        <v/>
      </c>
    </row>
    <row r="7">
      <c r="A7" s="2" t="inlineStr">
        <is>
          <t>Buzo Cuello Redondo</t>
        </is>
      </c>
      <c r="B7" s="3" t="n">
        <v>5</v>
      </c>
      <c r="C7" s="3" t="n">
        <v>6</v>
      </c>
      <c r="D7" s="3" t="n">
        <v>92</v>
      </c>
      <c r="E7" s="3" t="n">
        <v>2</v>
      </c>
      <c r="F7" s="4">
        <f>B7+C7+D7+E7</f>
        <v/>
      </c>
    </row>
    <row r="8">
      <c r="A8" s="2" t="inlineStr">
        <is>
          <t>Buzos C Capucha</t>
        </is>
      </c>
      <c r="B8" s="3" t="n">
        <v>23</v>
      </c>
      <c r="C8" s="3" t="n">
        <v>6</v>
      </c>
      <c r="D8" s="3" t="n">
        <v>105</v>
      </c>
      <c r="E8" s="3" t="n">
        <v>8</v>
      </c>
      <c r="F8" s="4">
        <f>B8+C8+D8+E8</f>
        <v/>
      </c>
    </row>
    <row r="9">
      <c r="A9" s="2" t="inlineStr">
        <is>
          <t>Buzos Medio Cierre</t>
        </is>
      </c>
      <c r="B9" s="3" t="n">
        <v>11</v>
      </c>
      <c r="C9" s="3" t="n">
        <v>14</v>
      </c>
      <c r="D9" s="3" t="n">
        <v>30</v>
      </c>
      <c r="E9" s="3" t="n"/>
      <c r="F9" s="4">
        <f>B9+C9+D9+E9</f>
        <v/>
      </c>
    </row>
    <row r="10">
      <c r="A10" s="2" t="inlineStr">
        <is>
          <t>Calzado</t>
        </is>
      </c>
      <c r="B10" s="3" t="n"/>
      <c r="C10" s="3" t="n">
        <v>-1</v>
      </c>
      <c r="D10" s="3" t="n"/>
      <c r="E10" s="3" t="n">
        <v>1</v>
      </c>
      <c r="F10" s="4">
        <f>B10+C10+D10+E10</f>
        <v/>
      </c>
    </row>
    <row r="11">
      <c r="A11" s="2" t="inlineStr">
        <is>
          <t>Camisas</t>
        </is>
      </c>
      <c r="B11" s="3" t="n">
        <v>2</v>
      </c>
      <c r="C11" s="3" t="n">
        <v>7</v>
      </c>
      <c r="D11" s="3" t="n">
        <v>6</v>
      </c>
      <c r="E11" s="3" t="n"/>
      <c r="F11" s="4">
        <f>B11+C11+D11+E11</f>
        <v/>
      </c>
    </row>
    <row r="12">
      <c r="A12" s="2" t="inlineStr">
        <is>
          <t>Camisetas Manga Larga</t>
        </is>
      </c>
      <c r="B12" s="3" t="n">
        <v>28</v>
      </c>
      <c r="C12" s="3" t="n">
        <v>69</v>
      </c>
      <c r="D12" s="3" t="n">
        <v>35</v>
      </c>
      <c r="E12" s="3" t="n"/>
      <c r="F12" s="4">
        <f>B12+C12+D12+E12</f>
        <v/>
      </c>
    </row>
    <row r="13">
      <c r="A13" s="2" t="inlineStr">
        <is>
          <t>Campera S Capucha</t>
        </is>
      </c>
      <c r="B13" s="3" t="n">
        <v>1</v>
      </c>
      <c r="C13" s="3" t="n"/>
      <c r="D13" s="3" t="n">
        <v>3</v>
      </c>
      <c r="E13" s="3" t="n"/>
      <c r="F13" s="4">
        <f>B13+C13+D13+E13</f>
        <v/>
      </c>
    </row>
    <row r="14">
      <c r="A14" s="2" t="inlineStr">
        <is>
          <t>Camperas Capucha</t>
        </is>
      </c>
      <c r="B14" s="3" t="n">
        <v>31</v>
      </c>
      <c r="C14" s="3" t="n">
        <v>57</v>
      </c>
      <c r="D14" s="3" t="n">
        <v>89</v>
      </c>
      <c r="E14" s="3" t="n">
        <v>2</v>
      </c>
      <c r="F14" s="4">
        <f>B14+C14+D14+E14</f>
        <v/>
      </c>
    </row>
    <row r="15">
      <c r="A15" s="2" t="inlineStr">
        <is>
          <t>Camperas De Abrigo</t>
        </is>
      </c>
      <c r="B15" s="3" t="n">
        <v>4</v>
      </c>
      <c r="C15" s="3" t="n">
        <v>4</v>
      </c>
      <c r="D15" s="3" t="n">
        <v>7</v>
      </c>
      <c r="E15" s="3" t="n"/>
      <c r="F15" s="4">
        <f>B15+C15+D15+E15</f>
        <v/>
      </c>
    </row>
    <row r="16">
      <c r="A16" s="2" t="inlineStr">
        <is>
          <t>Chombas</t>
        </is>
      </c>
      <c r="B16" s="3" t="n">
        <v>20</v>
      </c>
      <c r="C16" s="3" t="n">
        <v>10</v>
      </c>
      <c r="D16" s="3" t="n">
        <v>46</v>
      </c>
      <c r="E16" s="3" t="n">
        <v>1</v>
      </c>
      <c r="F16" s="4">
        <f>B16+C16+D16+E16</f>
        <v/>
      </c>
    </row>
    <row r="17">
      <c r="A17" s="2" t="inlineStr">
        <is>
          <t>Chombas Manga Larga</t>
        </is>
      </c>
      <c r="B17" s="3" t="n">
        <v>13</v>
      </c>
      <c r="C17" s="3" t="n">
        <v>28</v>
      </c>
      <c r="D17" s="3" t="n">
        <v>8</v>
      </c>
      <c r="E17" s="3" t="n">
        <v>1</v>
      </c>
      <c r="F17" s="4">
        <f>B17+C17+D17+E17</f>
        <v/>
      </c>
    </row>
    <row r="18">
      <c r="A18" s="2" t="inlineStr">
        <is>
          <t>Jeans</t>
        </is>
      </c>
      <c r="B18" s="3" t="n">
        <v>72</v>
      </c>
      <c r="C18" s="3" t="n">
        <v>91</v>
      </c>
      <c r="D18" s="3" t="n">
        <v>229</v>
      </c>
      <c r="E18" s="3" t="n">
        <v>4</v>
      </c>
      <c r="F18" s="4">
        <f>B18+C18+D18+E18</f>
        <v/>
      </c>
    </row>
    <row r="19">
      <c r="A19" s="2" t="inlineStr">
        <is>
          <t>Jeans De Segunda</t>
        </is>
      </c>
      <c r="B19" s="3" t="n"/>
      <c r="C19" s="3" t="n"/>
      <c r="D19" s="3" t="n"/>
      <c r="E19" s="3" t="n"/>
      <c r="F19" s="4">
        <f>B19+C19+D19+E19</f>
        <v/>
      </c>
    </row>
    <row r="20">
      <c r="A20" s="2" t="inlineStr">
        <is>
          <t>Jogging</t>
        </is>
      </c>
      <c r="B20" s="3" t="n">
        <v>3</v>
      </c>
      <c r="C20" s="3" t="n">
        <v>3</v>
      </c>
      <c r="D20" s="3" t="n">
        <v>56</v>
      </c>
      <c r="E20" s="3" t="n">
        <v>1</v>
      </c>
      <c r="F20" s="4">
        <f>B20+C20+D20+E20</f>
        <v/>
      </c>
    </row>
    <row r="21">
      <c r="A21" s="2" t="inlineStr">
        <is>
          <t>Jogging Corto</t>
        </is>
      </c>
      <c r="B21" s="3" t="n">
        <v>3</v>
      </c>
      <c r="C21" s="3" t="n">
        <v>3</v>
      </c>
      <c r="D21" s="3" t="n">
        <v>3</v>
      </c>
      <c r="E21" s="3" t="n"/>
      <c r="F21" s="4">
        <f>B21+C21+D21+E21</f>
        <v/>
      </c>
    </row>
    <row r="22">
      <c r="A22" s="2" t="inlineStr">
        <is>
          <t>Musculosas</t>
        </is>
      </c>
      <c r="B22" s="3" t="n"/>
      <c r="C22" s="3" t="n">
        <v>-1</v>
      </c>
      <c r="D22" s="3" t="n">
        <v>9</v>
      </c>
      <c r="E22" s="3" t="n"/>
      <c r="F22" s="4">
        <f>B22+C22+D22+E22</f>
        <v/>
      </c>
    </row>
    <row r="23">
      <c r="A23" s="2" t="inlineStr">
        <is>
          <t>Other</t>
        </is>
      </c>
      <c r="B23" s="3" t="n"/>
      <c r="C23" s="3" t="n">
        <v>1</v>
      </c>
      <c r="D23" s="3" t="n"/>
      <c r="E23" s="3" t="n"/>
      <c r="F23" s="4">
        <f>B23+C23+D23+E23</f>
        <v/>
      </c>
    </row>
    <row r="24">
      <c r="A24" s="2" t="inlineStr">
        <is>
          <t>Remeras</t>
        </is>
      </c>
      <c r="B24" s="3" t="n">
        <v>192</v>
      </c>
      <c r="C24" s="3" t="n">
        <v>297</v>
      </c>
      <c r="D24" s="3" t="n">
        <v>662</v>
      </c>
      <c r="E24" s="3" t="n">
        <v>41</v>
      </c>
      <c r="F24" s="4">
        <f>B24+C24+D24+E24</f>
        <v/>
      </c>
    </row>
    <row r="25">
      <c r="A25" s="2" t="inlineStr">
        <is>
          <t>Sweaters</t>
        </is>
      </c>
      <c r="B25" s="3" t="n">
        <v>1</v>
      </c>
      <c r="C25" s="3" t="n"/>
      <c r="D25" s="3" t="n">
        <v>4</v>
      </c>
      <c r="E25" s="3" t="n">
        <v>1</v>
      </c>
      <c r="F25" s="4">
        <f>B25+C25+D25+E25</f>
        <v/>
      </c>
    </row>
    <row r="26">
      <c r="A26" s="2" t="inlineStr">
        <is>
          <t>Trajes De Baño</t>
        </is>
      </c>
      <c r="B26" s="3" t="n"/>
      <c r="C26" s="3" t="n"/>
      <c r="D26" s="3" t="n">
        <v>12</v>
      </c>
      <c r="E26" s="3" t="n"/>
      <c r="F26" s="4">
        <f>B26+C26+D26+E26</f>
        <v/>
      </c>
    </row>
    <row r="27">
      <c r="A27" s="5" t="inlineStr">
        <is>
          <t>Totals</t>
        </is>
      </c>
      <c r="B27" s="4">
        <f>SUM($B$3:$B$26)</f>
        <v/>
      </c>
      <c r="C27" s="4">
        <f>SUM($C$3:$C$26)</f>
        <v/>
      </c>
      <c r="D27" s="4">
        <f>SUM($D$3:$D$26)</f>
        <v/>
      </c>
      <c r="E27" s="4">
        <f>SUM($E$3:$E$26)</f>
        <v/>
      </c>
      <c r="F27" s="4">
        <f>SUM($F$3:$F$26)</f>
        <v/>
      </c>
    </row>
    <row r="30">
      <c r="A30" s="1" t="inlineStr">
        <is>
          <t>YoY Comparison - Branch Group 1</t>
        </is>
      </c>
    </row>
    <row r="31">
      <c r="B31" s="1" t="inlineStr">
        <is>
          <t>LIBERT.R</t>
        </is>
      </c>
      <c r="C31" s="1" t="n"/>
      <c r="D31" s="1" t="n"/>
      <c r="E31" s="1" t="inlineStr">
        <is>
          <t>PASO.R</t>
        </is>
      </c>
      <c r="F31" s="1" t="n"/>
      <c r="G31" s="1" t="n"/>
      <c r="H31" s="1" t="inlineStr">
        <is>
          <t>P.OESTE</t>
        </is>
      </c>
      <c r="I31" s="1" t="n"/>
      <c r="J31" s="1" t="n"/>
      <c r="K31" s="1" t="inlineStr">
        <is>
          <t>Global</t>
        </is>
      </c>
      <c r="L31" s="1" t="n"/>
      <c r="M31" s="1" t="n"/>
    </row>
    <row r="32">
      <c r="A32" s="1" t="inlineStr">
        <is>
          <t>Familias</t>
        </is>
      </c>
      <c r="B32" s="1" t="n">
        <v>2025</v>
      </c>
      <c r="C32" s="1" t="n">
        <v>2026</v>
      </c>
      <c r="D32" s="1" t="inlineStr">
        <is>
          <t>%</t>
        </is>
      </c>
      <c r="E32" s="1" t="n">
        <v>2025</v>
      </c>
      <c r="F32" s="1" t="n">
        <v>2026</v>
      </c>
      <c r="G32" s="1" t="inlineStr">
        <is>
          <t>%</t>
        </is>
      </c>
      <c r="H32" s="1" t="n">
        <v>2025</v>
      </c>
      <c r="I32" s="1" t="n">
        <v>2026</v>
      </c>
      <c r="J32" s="1" t="inlineStr">
        <is>
          <t>%</t>
        </is>
      </c>
      <c r="K32" s="1" t="n">
        <v>2025</v>
      </c>
      <c r="L32" s="1" t="n">
        <v>2026</v>
      </c>
      <c r="M32" s="1" t="inlineStr">
        <is>
          <t>%</t>
        </is>
      </c>
    </row>
    <row r="33">
      <c r="A33" s="2" t="inlineStr">
        <is>
          <t>Accesorios</t>
        </is>
      </c>
      <c r="B33" s="3" t="n">
        <v>33</v>
      </c>
      <c r="C33" s="3" t="n">
        <v>9</v>
      </c>
      <c r="D33" s="6">
        <f>IF(B33=0, "N/A", (C33-B33)/B33)</f>
        <v/>
      </c>
      <c r="E33" s="3" t="n">
        <v>29</v>
      </c>
      <c r="F33" s="3" t="n">
        <v>26</v>
      </c>
      <c r="G33" s="6">
        <f>IF(E33=0, "N/A", (F33-E33)/E33)</f>
        <v/>
      </c>
      <c r="H33" s="3" t="n">
        <v>92</v>
      </c>
      <c r="I33" s="3" t="n">
        <v>52</v>
      </c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Bermudas</t>
        </is>
      </c>
      <c r="B34" s="3" t="n">
        <v>8</v>
      </c>
      <c r="C34" s="3" t="n"/>
      <c r="D34" s="6">
        <f>IF(B34=0, "N/A", (C34-B34)/B34)</f>
        <v/>
      </c>
      <c r="E34" s="3" t="n">
        <v>25</v>
      </c>
      <c r="F34" s="3" t="n">
        <v>5</v>
      </c>
      <c r="G34" s="6">
        <f>IF(E34=0, "N/A", (F34-E34)/E34)</f>
        <v/>
      </c>
      <c r="H34" s="3" t="n">
        <v>70</v>
      </c>
      <c r="I34" s="3" t="n">
        <v>27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Boxer</t>
        </is>
      </c>
      <c r="B35" s="3" t="n">
        <v>6</v>
      </c>
      <c r="C35" s="3" t="n">
        <v>1</v>
      </c>
      <c r="D35" s="6">
        <f>IF(B35=0, "N/A", (C35-B35)/B35)</f>
        <v/>
      </c>
      <c r="E35" s="3" t="n">
        <v>30</v>
      </c>
      <c r="F35" s="3" t="n">
        <v>7</v>
      </c>
      <c r="G35" s="6">
        <f>IF(E35=0, "N/A", (F35-E35)/E35)</f>
        <v/>
      </c>
      <c r="H35" s="3" t="n">
        <v>110</v>
      </c>
      <c r="I35" s="3" t="n">
        <v>101</v>
      </c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 C Capucha Rustico</t>
        </is>
      </c>
      <c r="B36" s="3" t="n"/>
      <c r="C36" s="3" t="n"/>
      <c r="D36" s="6">
        <f>IF(B36=0, "N/A", (C36-B36)/B36)</f>
        <v/>
      </c>
      <c r="E36" s="3" t="n"/>
      <c r="F36" s="3" t="n"/>
      <c r="G36" s="6">
        <f>IF(E36=0, "N/A", (F36-E36)/E36)</f>
        <v/>
      </c>
      <c r="H36" s="3" t="n"/>
      <c r="I36" s="3" t="n">
        <v>4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 Cuello Redondo</t>
        </is>
      </c>
      <c r="B37" s="3" t="n">
        <v>76</v>
      </c>
      <c r="C37" s="3" t="n">
        <v>5</v>
      </c>
      <c r="D37" s="6">
        <f>IF(B37=0, "N/A", (C37-B37)/B37)</f>
        <v/>
      </c>
      <c r="E37" s="3" t="n">
        <v>93</v>
      </c>
      <c r="F37" s="3" t="n">
        <v>6</v>
      </c>
      <c r="G37" s="6">
        <f>IF(E37=0, "N/A", (F37-E37)/E37)</f>
        <v/>
      </c>
      <c r="H37" s="3" t="n">
        <v>212</v>
      </c>
      <c r="I37" s="3" t="n">
        <v>92</v>
      </c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Buzos</t>
        </is>
      </c>
      <c r="B38" s="3" t="n">
        <v>1</v>
      </c>
      <c r="C38" s="3" t="n"/>
      <c r="D38" s="6">
        <f>IF(B38=0, "N/A", (C38-B38)/B38)</f>
        <v/>
      </c>
      <c r="E38" s="3" t="n"/>
      <c r="F38" s="3" t="n"/>
      <c r="G38" s="6">
        <f>IF(E38=0, "N/A", (F38-E38)/E38)</f>
        <v/>
      </c>
      <c r="H38" s="3" t="n"/>
      <c r="I38" s="3" t="n"/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Buzos C Capucha</t>
        </is>
      </c>
      <c r="B39" s="3" t="n">
        <v>37</v>
      </c>
      <c r="C39" s="3" t="n">
        <v>23</v>
      </c>
      <c r="D39" s="6">
        <f>IF(B39=0, "N/A", (C39-B39)/B39)</f>
        <v/>
      </c>
      <c r="E39" s="3" t="n">
        <v>33</v>
      </c>
      <c r="F39" s="3" t="n">
        <v>6</v>
      </c>
      <c r="G39" s="6">
        <f>IF(E39=0, "N/A", (F39-E39)/E39)</f>
        <v/>
      </c>
      <c r="H39" s="3" t="n">
        <v>128</v>
      </c>
      <c r="I39" s="3" t="n">
        <v>105</v>
      </c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Buzos Medio Cierre</t>
        </is>
      </c>
      <c r="B40" s="3" t="n">
        <v>8</v>
      </c>
      <c r="C40" s="3" t="n">
        <v>11</v>
      </c>
      <c r="D40" s="6">
        <f>IF(B40=0, "N/A", (C40-B40)/B40)</f>
        <v/>
      </c>
      <c r="E40" s="3" t="n">
        <v>6</v>
      </c>
      <c r="F40" s="3" t="n">
        <v>14</v>
      </c>
      <c r="G40" s="6">
        <f>IF(E40=0, "N/A", (F40-E40)/E40)</f>
        <v/>
      </c>
      <c r="H40" s="3" t="n">
        <v>7</v>
      </c>
      <c r="I40" s="3" t="n">
        <v>30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Calzado</t>
        </is>
      </c>
      <c r="B41" s="3" t="n">
        <v>6</v>
      </c>
      <c r="C41" s="3" t="n"/>
      <c r="D41" s="6">
        <f>IF(B41=0, "N/A", (C41-B41)/B41)</f>
        <v/>
      </c>
      <c r="E41" s="3" t="n">
        <v>2</v>
      </c>
      <c r="F41" s="3" t="n">
        <v>-1</v>
      </c>
      <c r="G41" s="6">
        <f>IF(E41=0, "N/A", (F41-E41)/E41)</f>
        <v/>
      </c>
      <c r="H41" s="3" t="n">
        <v>5</v>
      </c>
      <c r="I41" s="3" t="n"/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Camisas</t>
        </is>
      </c>
      <c r="B42" s="3" t="n">
        <v>11</v>
      </c>
      <c r="C42" s="3" t="n">
        <v>2</v>
      </c>
      <c r="D42" s="6">
        <f>IF(B42=0, "N/A", (C42-B42)/B42)</f>
        <v/>
      </c>
      <c r="E42" s="3" t="n">
        <v>9</v>
      </c>
      <c r="F42" s="3" t="n">
        <v>7</v>
      </c>
      <c r="G42" s="6">
        <f>IF(E42=0, "N/A", (F42-E42)/E42)</f>
        <v/>
      </c>
      <c r="H42" s="3" t="n">
        <v>17</v>
      </c>
      <c r="I42" s="3" t="n">
        <v>6</v>
      </c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Camisetas Manga Larga</t>
        </is>
      </c>
      <c r="B43" s="3" t="n">
        <v>29</v>
      </c>
      <c r="C43" s="3" t="n">
        <v>28</v>
      </c>
      <c r="D43" s="6">
        <f>IF(B43=0, "N/A", (C43-B43)/B43)</f>
        <v/>
      </c>
      <c r="E43" s="3" t="n">
        <v>61</v>
      </c>
      <c r="F43" s="3" t="n">
        <v>69</v>
      </c>
      <c r="G43" s="6">
        <f>IF(E43=0, "N/A", (F43-E43)/E43)</f>
        <v/>
      </c>
      <c r="H43" s="3" t="n">
        <v>69</v>
      </c>
      <c r="I43" s="3" t="n">
        <v>35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Campera S Capucha</t>
        </is>
      </c>
      <c r="B44" s="3" t="n">
        <v>4</v>
      </c>
      <c r="C44" s="3" t="n">
        <v>1</v>
      </c>
      <c r="D44" s="6">
        <f>IF(B44=0, "N/A", (C44-B44)/B44)</f>
        <v/>
      </c>
      <c r="E44" s="3" t="n">
        <v>14</v>
      </c>
      <c r="F44" s="3" t="n"/>
      <c r="G44" s="6">
        <f>IF(E44=0, "N/A", (F44-E44)/E44)</f>
        <v/>
      </c>
      <c r="H44" s="3" t="n">
        <v>14</v>
      </c>
      <c r="I44" s="3" t="n">
        <v>3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Camperas Capucha</t>
        </is>
      </c>
      <c r="B45" s="3" t="n">
        <v>26</v>
      </c>
      <c r="C45" s="3" t="n">
        <v>31</v>
      </c>
      <c r="D45" s="6">
        <f>IF(B45=0, "N/A", (C45-B45)/B45)</f>
        <v/>
      </c>
      <c r="E45" s="3" t="n">
        <v>12</v>
      </c>
      <c r="F45" s="3" t="n">
        <v>57</v>
      </c>
      <c r="G45" s="6">
        <f>IF(E45=0, "N/A", (F45-E45)/E45)</f>
        <v/>
      </c>
      <c r="H45" s="3" t="n">
        <v>100</v>
      </c>
      <c r="I45" s="3" t="n">
        <v>89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Camperas De Abrigo</t>
        </is>
      </c>
      <c r="B46" s="3" t="n"/>
      <c r="C46" s="3" t="n">
        <v>4</v>
      </c>
      <c r="D46" s="6">
        <f>IF(B46=0, "N/A", (C46-B46)/B46)</f>
        <v/>
      </c>
      <c r="E46" s="3" t="n"/>
      <c r="F46" s="3" t="n">
        <v>4</v>
      </c>
      <c r="G46" s="6">
        <f>IF(E46=0, "N/A", (F46-E46)/E46)</f>
        <v/>
      </c>
      <c r="H46" s="3" t="n"/>
      <c r="I46" s="3" t="n">
        <v>7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Chombas</t>
        </is>
      </c>
      <c r="B47" s="3" t="n">
        <v>37</v>
      </c>
      <c r="C47" s="3" t="n">
        <v>20</v>
      </c>
      <c r="D47" s="6">
        <f>IF(B47=0, "N/A", (C47-B47)/B47)</f>
        <v/>
      </c>
      <c r="E47" s="3" t="n">
        <v>35</v>
      </c>
      <c r="F47" s="3" t="n">
        <v>10</v>
      </c>
      <c r="G47" s="6">
        <f>IF(E47=0, "N/A", (F47-E47)/E47)</f>
        <v/>
      </c>
      <c r="H47" s="3" t="n">
        <v>65</v>
      </c>
      <c r="I47" s="3" t="n">
        <v>46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Chombas Manga Larga</t>
        </is>
      </c>
      <c r="B48" s="3" t="n">
        <v>2</v>
      </c>
      <c r="C48" s="3" t="n">
        <v>13</v>
      </c>
      <c r="D48" s="6">
        <f>IF(B48=0, "N/A", (C48-B48)/B48)</f>
        <v/>
      </c>
      <c r="E48" s="3" t="n">
        <v>1</v>
      </c>
      <c r="F48" s="3" t="n">
        <v>28</v>
      </c>
      <c r="G48" s="6">
        <f>IF(E48=0, "N/A", (F48-E48)/E48)</f>
        <v/>
      </c>
      <c r="H48" s="3" t="n"/>
      <c r="I48" s="3" t="n">
        <v>8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Jeans</t>
        </is>
      </c>
      <c r="B49" s="3" t="n">
        <v>50</v>
      </c>
      <c r="C49" s="3" t="n">
        <v>72</v>
      </c>
      <c r="D49" s="6">
        <f>IF(B49=0, "N/A", (C49-B49)/B49)</f>
        <v/>
      </c>
      <c r="E49" s="3" t="n">
        <v>123</v>
      </c>
      <c r="F49" s="3" t="n">
        <v>91</v>
      </c>
      <c r="G49" s="6">
        <f>IF(E49=0, "N/A", (F49-E49)/E49)</f>
        <v/>
      </c>
      <c r="H49" s="3" t="n">
        <v>240</v>
      </c>
      <c r="I49" s="3" t="n">
        <v>229</v>
      </c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Jeans De Segunda</t>
        </is>
      </c>
      <c r="B50" s="3" t="n"/>
      <c r="C50" s="3" t="n"/>
      <c r="D50" s="6">
        <f>IF(B50=0, "N/A", (C50-B50)/B50)</f>
        <v/>
      </c>
      <c r="E50" s="3" t="n"/>
      <c r="F50" s="3" t="n"/>
      <c r="G50" s="6">
        <f>IF(E50=0, "N/A", (F50-E50)/E50)</f>
        <v/>
      </c>
      <c r="H50" s="3" t="n"/>
      <c r="I50" s="3" t="n"/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Jogging</t>
        </is>
      </c>
      <c r="B51" s="3" t="n">
        <v>7</v>
      </c>
      <c r="C51" s="3" t="n">
        <v>3</v>
      </c>
      <c r="D51" s="6">
        <f>IF(B51=0, "N/A", (C51-B51)/B51)</f>
        <v/>
      </c>
      <c r="E51" s="3" t="n">
        <v>5</v>
      </c>
      <c r="F51" s="3" t="n">
        <v>3</v>
      </c>
      <c r="G51" s="6">
        <f>IF(E51=0, "N/A", (F51-E51)/E51)</f>
        <v/>
      </c>
      <c r="H51" s="3" t="n">
        <v>78</v>
      </c>
      <c r="I51" s="3" t="n">
        <v>56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Jogging Corto</t>
        </is>
      </c>
      <c r="B52" s="3" t="n"/>
      <c r="C52" s="3" t="n">
        <v>3</v>
      </c>
      <c r="D52" s="6">
        <f>IF(B52=0, "N/A", (C52-B52)/B52)</f>
        <v/>
      </c>
      <c r="E52" s="3" t="n"/>
      <c r="F52" s="3" t="n">
        <v>3</v>
      </c>
      <c r="G52" s="6">
        <f>IF(E52=0, "N/A", (F52-E52)/E52)</f>
        <v/>
      </c>
      <c r="H52" s="3" t="n">
        <v>3</v>
      </c>
      <c r="I52" s="3" t="n">
        <v>3</v>
      </c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Musculosas</t>
        </is>
      </c>
      <c r="B53" s="3" t="n">
        <v>10</v>
      </c>
      <c r="C53" s="3" t="n"/>
      <c r="D53" s="6">
        <f>IF(B53=0, "N/A", (C53-B53)/B53)</f>
        <v/>
      </c>
      <c r="E53" s="3" t="n">
        <v>1</v>
      </c>
      <c r="F53" s="3" t="n">
        <v>-1</v>
      </c>
      <c r="G53" s="6">
        <f>IF(E53=0, "N/A", (F53-E53)/E53)</f>
        <v/>
      </c>
      <c r="H53" s="3" t="n">
        <v>8</v>
      </c>
      <c r="I53" s="3" t="n">
        <v>9</v>
      </c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Other</t>
        </is>
      </c>
      <c r="B54" s="3" t="n"/>
      <c r="C54" s="3" t="n"/>
      <c r="D54" s="6">
        <f>IF(B54=0, "N/A", (C54-B54)/B54)</f>
        <v/>
      </c>
      <c r="E54" s="3" t="n">
        <v>3</v>
      </c>
      <c r="F54" s="3" t="n">
        <v>1</v>
      </c>
      <c r="G54" s="6">
        <f>IF(E54=0, "N/A", (F54-E54)/E54)</f>
        <v/>
      </c>
      <c r="H54" s="3" t="n">
        <v>1</v>
      </c>
      <c r="I54" s="3" t="n"/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2" t="inlineStr">
        <is>
          <t>Remeras</t>
        </is>
      </c>
      <c r="B55" s="3" t="n">
        <v>122</v>
      </c>
      <c r="C55" s="3" t="n">
        <v>192</v>
      </c>
      <c r="D55" s="6">
        <f>IF(B55=0, "N/A", (C55-B55)/B55)</f>
        <v/>
      </c>
      <c r="E55" s="3" t="n">
        <v>234</v>
      </c>
      <c r="F55" s="3" t="n">
        <v>297</v>
      </c>
      <c r="G55" s="6">
        <f>IF(E55=0, "N/A", (F55-E55)/E55)</f>
        <v/>
      </c>
      <c r="H55" s="3" t="n">
        <v>688</v>
      </c>
      <c r="I55" s="3" t="n">
        <v>662</v>
      </c>
      <c r="J55" s="6">
        <f>IF(H55=0, "N/A", (I55-H55)/H55)</f>
        <v/>
      </c>
      <c r="K55" s="3">
        <f>B55+E55+H55</f>
        <v/>
      </c>
      <c r="L55" s="3">
        <f>C55+F55+I55</f>
        <v/>
      </c>
      <c r="M55" s="6">
        <f>IF(K55=0, "N/A", (L55-K55)/K55)</f>
        <v/>
      </c>
    </row>
    <row r="56">
      <c r="A56" s="2" t="inlineStr">
        <is>
          <t>Sweaters</t>
        </is>
      </c>
      <c r="B56" s="3" t="n">
        <v>3</v>
      </c>
      <c r="C56" s="3" t="n">
        <v>1</v>
      </c>
      <c r="D56" s="6">
        <f>IF(B56=0, "N/A", (C56-B56)/B56)</f>
        <v/>
      </c>
      <c r="E56" s="3" t="n">
        <v>3</v>
      </c>
      <c r="F56" s="3" t="n"/>
      <c r="G56" s="6">
        <f>IF(E56=0, "N/A", (F56-E56)/E56)</f>
        <v/>
      </c>
      <c r="H56" s="3" t="n">
        <v>19</v>
      </c>
      <c r="I56" s="3" t="n">
        <v>4</v>
      </c>
      <c r="J56" s="6">
        <f>IF(H56=0, "N/A", (I56-H56)/H56)</f>
        <v/>
      </c>
      <c r="K56" s="3">
        <f>B56+E56+H56</f>
        <v/>
      </c>
      <c r="L56" s="3">
        <f>C56+F56+I56</f>
        <v/>
      </c>
      <c r="M56" s="6">
        <f>IF(K56=0, "N/A", (L56-K56)/K56)</f>
        <v/>
      </c>
    </row>
    <row r="57">
      <c r="A57" s="2" t="inlineStr">
        <is>
          <t>Trajes De Baño</t>
        </is>
      </c>
      <c r="B57" s="3" t="n">
        <v>4</v>
      </c>
      <c r="C57" s="3" t="n"/>
      <c r="D57" s="6">
        <f>IF(B57=0, "N/A", (C57-B57)/B57)</f>
        <v/>
      </c>
      <c r="E57" s="3" t="n">
        <v>5</v>
      </c>
      <c r="F57" s="3" t="n"/>
      <c r="G57" s="6">
        <f>IF(E57=0, "N/A", (F57-E57)/E57)</f>
        <v/>
      </c>
      <c r="H57" s="3" t="n">
        <v>11</v>
      </c>
      <c r="I57" s="3" t="n">
        <v>12</v>
      </c>
      <c r="J57" s="6">
        <f>IF(H57=0, "N/A", (I57-H57)/H57)</f>
        <v/>
      </c>
      <c r="K57" s="3">
        <f>B57+E57+H57</f>
        <v/>
      </c>
      <c r="L57" s="3">
        <f>C57+F57+I57</f>
        <v/>
      </c>
      <c r="M57" s="6">
        <f>IF(K57=0, "N/A", (L57-K57)/K57)</f>
        <v/>
      </c>
    </row>
    <row r="58">
      <c r="A58" s="5" t="inlineStr">
        <is>
          <t>Totals</t>
        </is>
      </c>
      <c r="B58" s="4">
        <f>SUM($B33:$B57)</f>
        <v/>
      </c>
      <c r="C58" s="4">
        <f>SUM($C33:$C57)</f>
        <v/>
      </c>
      <c r="D58" s="7">
        <f>IF(B58=0, "N/A", (C58-B58)/B58)</f>
        <v/>
      </c>
      <c r="E58" s="4">
        <f>SUM($E33:$E57)</f>
        <v/>
      </c>
      <c r="F58" s="4">
        <f>SUM($F33:$F57)</f>
        <v/>
      </c>
      <c r="G58" s="7">
        <f>IF(E58=0, "N/A", (F58-E58)/E58)</f>
        <v/>
      </c>
      <c r="H58" s="4">
        <f>SUM($H33:$H57)</f>
        <v/>
      </c>
      <c r="I58" s="4">
        <f>SUM($I33:$I57)</f>
        <v/>
      </c>
      <c r="J58" s="7">
        <f>IF(H58=0, "N/A", (I58-H58)/H58)</f>
        <v/>
      </c>
      <c r="K58" s="4">
        <f>SUM($K33:$K57)</f>
        <v/>
      </c>
      <c r="L58" s="4">
        <f>SUM($L33:$L57)</f>
        <v/>
      </c>
      <c r="M58" s="7">
        <f>IF(K58=0, "N/A", (L58-K58)/K58)</f>
        <v/>
      </c>
    </row>
    <row r="61">
      <c r="A61" s="1" t="inlineStr">
        <is>
          <t>YoY Comparison - Branch Group 2</t>
        </is>
      </c>
    </row>
    <row r="62">
      <c r="B62" s="1" t="inlineStr">
        <is>
          <t>VIRREYES</t>
        </is>
      </c>
      <c r="C62" s="1" t="n"/>
      <c r="D62" s="1" t="n"/>
    </row>
    <row r="63">
      <c r="A63" s="1" t="inlineStr">
        <is>
          <t>Familias</t>
        </is>
      </c>
      <c r="B63" s="1" t="n">
        <v>2025</v>
      </c>
      <c r="C63" s="1" t="n">
        <v>2026</v>
      </c>
      <c r="D63" s="1" t="inlineStr">
        <is>
          <t>%</t>
        </is>
      </c>
    </row>
    <row r="64">
      <c r="A64" s="2" t="inlineStr">
        <is>
          <t>Accesorios</t>
        </is>
      </c>
      <c r="B64" s="3" t="n">
        <v>7</v>
      </c>
      <c r="C64" s="3" t="n"/>
      <c r="D64" s="6">
        <f>IF(B64=0, "N/A", (C64-B64)/B64)</f>
        <v/>
      </c>
    </row>
    <row r="65">
      <c r="A65" s="2" t="inlineStr">
        <is>
          <t>Bermudas</t>
        </is>
      </c>
      <c r="B65" s="3" t="n">
        <v>1</v>
      </c>
      <c r="C65" s="3" t="n">
        <v>-1</v>
      </c>
      <c r="D65" s="6">
        <f>IF(B65=0, "N/A", (C65-B65)/B65)</f>
        <v/>
      </c>
    </row>
    <row r="66">
      <c r="A66" s="2" t="inlineStr">
        <is>
          <t>Boxer</t>
        </is>
      </c>
      <c r="B66" s="3" t="n">
        <v>3</v>
      </c>
      <c r="C66" s="3" t="n">
        <v>3</v>
      </c>
      <c r="D66" s="6">
        <f>IF(B66=0, "N/A", (C66-B66)/B66)</f>
        <v/>
      </c>
    </row>
    <row r="67">
      <c r="A67" s="2" t="inlineStr">
        <is>
          <t>Buzo Cuello Redondo</t>
        </is>
      </c>
      <c r="B67" s="3" t="n">
        <v>8</v>
      </c>
      <c r="C67" s="3" t="n">
        <v>2</v>
      </c>
      <c r="D67" s="6">
        <f>IF(B67=0, "N/A", (C67-B67)/B67)</f>
        <v/>
      </c>
    </row>
    <row r="68">
      <c r="A68" s="2" t="inlineStr">
        <is>
          <t>Buzos C Capucha</t>
        </is>
      </c>
      <c r="B68" s="3" t="n">
        <v>16</v>
      </c>
      <c r="C68" s="3" t="n">
        <v>8</v>
      </c>
      <c r="D68" s="6">
        <f>IF(B68=0, "N/A", (C68-B68)/B68)</f>
        <v/>
      </c>
    </row>
    <row r="69">
      <c r="A69" s="2" t="inlineStr">
        <is>
          <t>Calzado</t>
        </is>
      </c>
      <c r="B69" s="3" t="n">
        <v>1</v>
      </c>
      <c r="C69" s="3" t="n">
        <v>1</v>
      </c>
      <c r="D69" s="6">
        <f>IF(B69=0, "N/A", (C69-B69)/B69)</f>
        <v/>
      </c>
    </row>
    <row r="70">
      <c r="A70" s="2" t="inlineStr">
        <is>
          <t>Camisetas Manga Larga</t>
        </is>
      </c>
      <c r="B70" s="3" t="n">
        <v>3</v>
      </c>
      <c r="C70" s="3" t="n"/>
      <c r="D70" s="6">
        <f>IF(B70=0, "N/A", (C70-B70)/B70)</f>
        <v/>
      </c>
    </row>
    <row r="71">
      <c r="A71" s="2" t="inlineStr">
        <is>
          <t>Camperas Capucha</t>
        </is>
      </c>
      <c r="B71" s="3" t="n">
        <v>4</v>
      </c>
      <c r="C71" s="3" t="n">
        <v>2</v>
      </c>
      <c r="D71" s="6">
        <f>IF(B71=0, "N/A", (C71-B71)/B71)</f>
        <v/>
      </c>
    </row>
    <row r="72">
      <c r="A72" s="2" t="inlineStr">
        <is>
          <t>Camperas De Abrigo</t>
        </is>
      </c>
      <c r="B72" s="3" t="n">
        <v>1</v>
      </c>
      <c r="C72" s="3" t="n"/>
      <c r="D72" s="6">
        <f>IF(B72=0, "N/A", (C72-B72)/B72)</f>
        <v/>
      </c>
    </row>
    <row r="73">
      <c r="A73" s="2" t="inlineStr">
        <is>
          <t>Chombas</t>
        </is>
      </c>
      <c r="B73" s="3" t="n"/>
      <c r="C73" s="3" t="n">
        <v>1</v>
      </c>
      <c r="D73" s="6">
        <f>IF(B73=0, "N/A", (C73-B73)/B73)</f>
        <v/>
      </c>
    </row>
    <row r="74">
      <c r="A74" s="2" t="inlineStr">
        <is>
          <t>Chombas Manga Larga</t>
        </is>
      </c>
      <c r="B74" s="3" t="n"/>
      <c r="C74" s="3" t="n">
        <v>1</v>
      </c>
      <c r="D74" s="6">
        <f>IF(B74=0, "N/A", (C74-B74)/B74)</f>
        <v/>
      </c>
    </row>
    <row r="75">
      <c r="A75" s="2" t="inlineStr">
        <is>
          <t>Jeans</t>
        </is>
      </c>
      <c r="B75" s="3" t="n">
        <v>15</v>
      </c>
      <c r="C75" s="3" t="n">
        <v>4</v>
      </c>
      <c r="D75" s="6">
        <f>IF(B75=0, "N/A", (C75-B75)/B75)</f>
        <v/>
      </c>
    </row>
    <row r="76">
      <c r="A76" s="2" t="inlineStr">
        <is>
          <t>Jogging</t>
        </is>
      </c>
      <c r="B76" s="3" t="n">
        <v>1</v>
      </c>
      <c r="C76" s="3" t="n">
        <v>1</v>
      </c>
      <c r="D76" s="6">
        <f>IF(B76=0, "N/A", (C76-B76)/B76)</f>
        <v/>
      </c>
    </row>
    <row r="77">
      <c r="A77" s="2" t="inlineStr">
        <is>
          <t>Other</t>
        </is>
      </c>
      <c r="B77" s="3" t="n">
        <v>1</v>
      </c>
      <c r="C77" s="3" t="n"/>
      <c r="D77" s="6">
        <f>IF(B77=0, "N/A", (C77-B77)/B77)</f>
        <v/>
      </c>
    </row>
    <row r="78">
      <c r="A78" s="2" t="inlineStr">
        <is>
          <t>Remeras</t>
        </is>
      </c>
      <c r="B78" s="3" t="n">
        <v>32</v>
      </c>
      <c r="C78" s="3" t="n">
        <v>41</v>
      </c>
      <c r="D78" s="6">
        <f>IF(B78=0, "N/A", (C78-B78)/B78)</f>
        <v/>
      </c>
    </row>
    <row r="79">
      <c r="A79" s="2" t="inlineStr">
        <is>
          <t>Sweaters</t>
        </is>
      </c>
      <c r="B79" s="3" t="n"/>
      <c r="C79" s="3" t="n">
        <v>1</v>
      </c>
      <c r="D79" s="6">
        <f>IF(B79=0, "N/A", (C79-B79)/B79)</f>
        <v/>
      </c>
    </row>
    <row r="80">
      <c r="A80" s="5" t="inlineStr">
        <is>
          <t>Totals</t>
        </is>
      </c>
      <c r="B80" s="4">
        <f>SUM($B64:$B79)</f>
        <v/>
      </c>
      <c r="C80" s="4">
        <f>SUM($C64:$C79)</f>
        <v/>
      </c>
      <c r="D80" s="7">
        <f>IF(B80=0, "N/A", (C80-B80)/B80)</f>
        <v/>
      </c>
    </row>
  </sheetData>
  <mergeCells count="8">
    <mergeCell ref="B62:C62"/>
    <mergeCell ref="A61:D61"/>
    <mergeCell ref="A1:F1"/>
    <mergeCell ref="A30:M30"/>
    <mergeCell ref="B31:C31"/>
    <mergeCell ref="H31:I31"/>
    <mergeCell ref="K31:L31"/>
    <mergeCell ref="E31:F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Sales from April 01, 2026 to April 30,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4</v>
      </c>
      <c r="C3" s="3" t="n">
        <v>21</v>
      </c>
      <c r="D3" s="3" t="n">
        <v>42</v>
      </c>
      <c r="E3" s="3" t="n">
        <v>2</v>
      </c>
      <c r="F3" s="4">
        <f>B3+C3+D3+E3</f>
        <v/>
      </c>
    </row>
    <row r="4">
      <c r="A4" s="2" t="inlineStr">
        <is>
          <t>Bermudas</t>
        </is>
      </c>
      <c r="B4" s="3" t="n">
        <v>-1</v>
      </c>
      <c r="C4" s="3" t="n">
        <v>1</v>
      </c>
      <c r="D4" s="3" t="n">
        <v>5</v>
      </c>
      <c r="E4" s="3" t="n"/>
      <c r="F4" s="4">
        <f>B4+C4+D4+E4</f>
        <v/>
      </c>
    </row>
    <row r="5">
      <c r="A5" s="2" t="inlineStr">
        <is>
          <t>Boxer</t>
        </is>
      </c>
      <c r="B5" s="3" t="n">
        <v>4</v>
      </c>
      <c r="C5" s="3" t="n">
        <v>6</v>
      </c>
      <c r="D5" s="3" t="n">
        <v>74</v>
      </c>
      <c r="E5" s="3" t="n">
        <v>5</v>
      </c>
      <c r="F5" s="4">
        <f>B5+C5+D5+E5</f>
        <v/>
      </c>
    </row>
    <row r="6">
      <c r="A6" s="2" t="inlineStr">
        <is>
          <t>Buzo C Capucha Rustico</t>
        </is>
      </c>
      <c r="B6" s="3" t="n"/>
      <c r="C6" s="3" t="n"/>
      <c r="D6" s="3" t="n">
        <v>5</v>
      </c>
      <c r="E6" s="3" t="n"/>
      <c r="F6" s="4">
        <f>B6+C6+D6+E6</f>
        <v/>
      </c>
    </row>
    <row r="7">
      <c r="A7" s="2" t="inlineStr">
        <is>
          <t>Buzo Cuello Redondo</t>
        </is>
      </c>
      <c r="B7" s="3" t="n">
        <v>29</v>
      </c>
      <c r="C7" s="3" t="n">
        <v>30</v>
      </c>
      <c r="D7" s="3" t="n">
        <v>156</v>
      </c>
      <c r="E7" s="3" t="n">
        <v>2</v>
      </c>
      <c r="F7" s="4">
        <f>B7+C7+D7+E7</f>
        <v/>
      </c>
    </row>
    <row r="8">
      <c r="A8" s="2" t="inlineStr">
        <is>
          <t>Buzos C Capucha</t>
        </is>
      </c>
      <c r="B8" s="3" t="n">
        <v>25</v>
      </c>
      <c r="C8" s="3" t="n">
        <v>39</v>
      </c>
      <c r="D8" s="3" t="n">
        <v>83</v>
      </c>
      <c r="E8" s="3" t="n">
        <v>3</v>
      </c>
      <c r="F8" s="4">
        <f>B8+C8+D8+E8</f>
        <v/>
      </c>
    </row>
    <row r="9">
      <c r="A9" s="2" t="inlineStr">
        <is>
          <t>Buzos C Capucha Orangutan</t>
        </is>
      </c>
      <c r="B9" s="3" t="n">
        <v>1</v>
      </c>
      <c r="C9" s="3" t="n">
        <v>4</v>
      </c>
      <c r="D9" s="3" t="n">
        <v>9</v>
      </c>
      <c r="E9" s="3" t="n">
        <v>2</v>
      </c>
      <c r="F9" s="4">
        <f>B9+C9+D9+E9</f>
        <v/>
      </c>
    </row>
    <row r="10">
      <c r="A10" s="2" t="inlineStr">
        <is>
          <t>Buzos C Redondo Orangutan</t>
        </is>
      </c>
      <c r="B10" s="3" t="n">
        <v>1</v>
      </c>
      <c r="C10" s="3" t="n"/>
      <c r="D10" s="3" t="n">
        <v>18</v>
      </c>
      <c r="E10" s="3" t="n"/>
      <c r="F10" s="4">
        <f>B10+C10+D10+E10</f>
        <v/>
      </c>
    </row>
    <row r="11">
      <c r="A11" s="2" t="inlineStr">
        <is>
          <t>Buzos Medio Cierre</t>
        </is>
      </c>
      <c r="B11" s="3" t="n">
        <v>12</v>
      </c>
      <c r="C11" s="3" t="n">
        <v>11</v>
      </c>
      <c r="D11" s="3" t="n">
        <v>38</v>
      </c>
      <c r="E11" s="3" t="n"/>
      <c r="F11" s="4">
        <f>B11+C11+D11+E11</f>
        <v/>
      </c>
    </row>
    <row r="12">
      <c r="A12" s="2" t="inlineStr">
        <is>
          <t>Calzado</t>
        </is>
      </c>
      <c r="B12" s="3" t="n"/>
      <c r="C12" s="3" t="n"/>
      <c r="D12" s="3" t="n">
        <v>1</v>
      </c>
      <c r="E12" s="3" t="n"/>
      <c r="F12" s="4">
        <f>B12+C12+D12+E12</f>
        <v/>
      </c>
    </row>
    <row r="13">
      <c r="A13" s="2" t="inlineStr">
        <is>
          <t>Camisas</t>
        </is>
      </c>
      <c r="B13" s="3" t="n"/>
      <c r="C13" s="3" t="n">
        <v>3</v>
      </c>
      <c r="D13" s="3" t="n">
        <v>1</v>
      </c>
      <c r="E13" s="3" t="n"/>
      <c r="F13" s="4">
        <f>B13+C13+D13+E13</f>
        <v/>
      </c>
    </row>
    <row r="14">
      <c r="A14" s="2" t="inlineStr">
        <is>
          <t>Camisetas Manga Larga</t>
        </is>
      </c>
      <c r="B14" s="3" t="n">
        <v>55</v>
      </c>
      <c r="C14" s="3" t="n">
        <v>74</v>
      </c>
      <c r="D14" s="3" t="n">
        <v>71</v>
      </c>
      <c r="E14" s="3" t="n"/>
      <c r="F14" s="4">
        <f>B14+C14+D14+E14</f>
        <v/>
      </c>
    </row>
    <row r="15">
      <c r="A15" s="2" t="inlineStr">
        <is>
          <t>Campera S Capucha</t>
        </is>
      </c>
      <c r="B15" s="3" t="n">
        <v>2</v>
      </c>
      <c r="C15" s="3" t="n">
        <v>1</v>
      </c>
      <c r="D15" s="3" t="n">
        <v>10</v>
      </c>
      <c r="E15" s="3" t="n"/>
      <c r="F15" s="4">
        <f>B15+C15+D15+E15</f>
        <v/>
      </c>
    </row>
    <row r="16">
      <c r="A16" s="2" t="inlineStr">
        <is>
          <t>Camperas Capucha</t>
        </is>
      </c>
      <c r="B16" s="3" t="n">
        <v>34</v>
      </c>
      <c r="C16" s="3" t="n">
        <v>35</v>
      </c>
      <c r="D16" s="3" t="n">
        <v>91</v>
      </c>
      <c r="E16" s="3" t="n">
        <v>7</v>
      </c>
      <c r="F16" s="4">
        <f>B16+C16+D16+E16</f>
        <v/>
      </c>
    </row>
    <row r="17">
      <c r="A17" s="2" t="inlineStr">
        <is>
          <t>Camperas De Abrigo</t>
        </is>
      </c>
      <c r="B17" s="3" t="n">
        <v>15</v>
      </c>
      <c r="C17" s="3" t="n">
        <v>12</v>
      </c>
      <c r="D17" s="3" t="n">
        <v>49</v>
      </c>
      <c r="E17" s="3" t="n">
        <v>1</v>
      </c>
      <c r="F17" s="4">
        <f>B17+C17+D17+E17</f>
        <v/>
      </c>
    </row>
    <row r="18">
      <c r="A18" s="2" t="inlineStr">
        <is>
          <t>Chombas</t>
        </is>
      </c>
      <c r="B18" s="3" t="n">
        <v>3</v>
      </c>
      <c r="C18" s="3" t="n">
        <v>3</v>
      </c>
      <c r="D18" s="3" t="n">
        <v>15</v>
      </c>
      <c r="E18" s="3" t="n">
        <v>1</v>
      </c>
      <c r="F18" s="4">
        <f>B18+C18+D18+E18</f>
        <v/>
      </c>
    </row>
    <row r="19">
      <c r="A19" s="2" t="inlineStr">
        <is>
          <t>Chombas Manga Larga</t>
        </is>
      </c>
      <c r="B19" s="3" t="n">
        <v>23</v>
      </c>
      <c r="C19" s="3" t="n">
        <v>25</v>
      </c>
      <c r="D19" s="3" t="n">
        <v>3</v>
      </c>
      <c r="E19" s="3" t="n"/>
      <c r="F19" s="4">
        <f>B19+C19+D19+E19</f>
        <v/>
      </c>
    </row>
    <row r="20">
      <c r="A20" s="2" t="inlineStr">
        <is>
          <t>Jeans</t>
        </is>
      </c>
      <c r="B20" s="3" t="n">
        <v>60</v>
      </c>
      <c r="C20" s="3" t="n">
        <v>62</v>
      </c>
      <c r="D20" s="3" t="n">
        <v>262</v>
      </c>
      <c r="E20" s="3" t="n">
        <v>18</v>
      </c>
      <c r="F20" s="4">
        <f>B20+C20+D20+E20</f>
        <v/>
      </c>
    </row>
    <row r="21">
      <c r="A21" s="2" t="inlineStr">
        <is>
          <t>Jogging</t>
        </is>
      </c>
      <c r="B21" s="3" t="n">
        <v>10</v>
      </c>
      <c r="C21" s="3" t="n">
        <v>17</v>
      </c>
      <c r="D21" s="3" t="n">
        <v>53</v>
      </c>
      <c r="E21" s="3" t="n">
        <v>2</v>
      </c>
      <c r="F21" s="4">
        <f>B21+C21+D21+E21</f>
        <v/>
      </c>
    </row>
    <row r="22">
      <c r="A22" s="2" t="inlineStr">
        <is>
          <t>Jogging Corto</t>
        </is>
      </c>
      <c r="B22" s="3" t="n"/>
      <c r="C22" s="3" t="n">
        <v>1</v>
      </c>
      <c r="D22" s="3" t="n"/>
      <c r="E22" s="3" t="n"/>
      <c r="F22" s="4">
        <f>B22+C22+D22+E22</f>
        <v/>
      </c>
    </row>
    <row r="23">
      <c r="A23" s="2" t="inlineStr">
        <is>
          <t>Musculosas</t>
        </is>
      </c>
      <c r="B23" s="3" t="n">
        <v>-1</v>
      </c>
      <c r="C23" s="3" t="n"/>
      <c r="D23" s="3" t="n">
        <v>3</v>
      </c>
      <c r="E23" s="3" t="n"/>
      <c r="F23" s="4">
        <f>B23+C23+D23+E23</f>
        <v/>
      </c>
    </row>
    <row r="24">
      <c r="A24" s="2" t="inlineStr">
        <is>
          <t>Other</t>
        </is>
      </c>
      <c r="B24" s="3" t="n"/>
      <c r="C24" s="3" t="n"/>
      <c r="D24" s="3" t="n">
        <v>2</v>
      </c>
      <c r="E24" s="3" t="n"/>
      <c r="F24" s="4">
        <f>B24+C24+D24+E24</f>
        <v/>
      </c>
    </row>
    <row r="25">
      <c r="A25" s="2" t="inlineStr">
        <is>
          <t>Remeras</t>
        </is>
      </c>
      <c r="B25" s="3" t="n">
        <v>103</v>
      </c>
      <c r="C25" s="3" t="n">
        <v>232</v>
      </c>
      <c r="D25" s="3" t="n">
        <v>263</v>
      </c>
      <c r="E25" s="3" t="n">
        <v>23</v>
      </c>
      <c r="F25" s="4">
        <f>B25+C25+D25+E25</f>
        <v/>
      </c>
    </row>
    <row r="26">
      <c r="A26" s="2" t="inlineStr">
        <is>
          <t>Sweaters</t>
        </is>
      </c>
      <c r="B26" s="3" t="n">
        <v>28</v>
      </c>
      <c r="C26" s="3" t="n">
        <v>18</v>
      </c>
      <c r="D26" s="3" t="n">
        <v>34</v>
      </c>
      <c r="E26" s="3" t="n">
        <v>2</v>
      </c>
      <c r="F26" s="4">
        <f>B26+C26+D26+E26</f>
        <v/>
      </c>
    </row>
    <row r="27">
      <c r="A27" s="5" t="inlineStr">
        <is>
          <t>Totals</t>
        </is>
      </c>
      <c r="B27" s="4">
        <f>SUM($B$3:$B$26)</f>
        <v/>
      </c>
      <c r="C27" s="4">
        <f>SUM($C$3:$C$26)</f>
        <v/>
      </c>
      <c r="D27" s="4">
        <f>SUM($D$3:$D$26)</f>
        <v/>
      </c>
      <c r="E27" s="4">
        <f>SUM($E$3:$E$26)</f>
        <v/>
      </c>
      <c r="F27" s="4">
        <f>SUM($F$3:$F$26)</f>
        <v/>
      </c>
    </row>
    <row r="30">
      <c r="A30" s="1" t="inlineStr">
        <is>
          <t>YoY Comparison - Branch Group 1</t>
        </is>
      </c>
    </row>
    <row r="31">
      <c r="B31" s="1" t="inlineStr">
        <is>
          <t>LIBERT.R</t>
        </is>
      </c>
      <c r="C31" s="1" t="n"/>
      <c r="D31" s="1" t="n"/>
      <c r="E31" s="1" t="inlineStr">
        <is>
          <t>PASO.R</t>
        </is>
      </c>
      <c r="F31" s="1" t="n"/>
      <c r="G31" s="1" t="n"/>
      <c r="H31" s="1" t="inlineStr">
        <is>
          <t>P.OESTE</t>
        </is>
      </c>
      <c r="I31" s="1" t="n"/>
      <c r="J31" s="1" t="n"/>
      <c r="K31" s="1" t="inlineStr">
        <is>
          <t>Global</t>
        </is>
      </c>
      <c r="L31" s="1" t="n"/>
      <c r="M31" s="1" t="n"/>
    </row>
    <row r="32">
      <c r="A32" s="1" t="inlineStr">
        <is>
          <t>Familias</t>
        </is>
      </c>
      <c r="B32" s="1" t="n">
        <v>2025</v>
      </c>
      <c r="C32" s="1" t="n">
        <v>2026</v>
      </c>
      <c r="D32" s="1" t="inlineStr">
        <is>
          <t>%</t>
        </is>
      </c>
      <c r="E32" s="1" t="n">
        <v>2025</v>
      </c>
      <c r="F32" s="1" t="n">
        <v>2026</v>
      </c>
      <c r="G32" s="1" t="inlineStr">
        <is>
          <t>%</t>
        </is>
      </c>
      <c r="H32" s="1" t="n">
        <v>2025</v>
      </c>
      <c r="I32" s="1" t="n">
        <v>2026</v>
      </c>
      <c r="J32" s="1" t="inlineStr">
        <is>
          <t>%</t>
        </is>
      </c>
      <c r="K32" s="1" t="n">
        <v>2025</v>
      </c>
      <c r="L32" s="1" t="n">
        <v>2026</v>
      </c>
      <c r="M32" s="1" t="inlineStr">
        <is>
          <t>%</t>
        </is>
      </c>
    </row>
    <row r="33">
      <c r="A33" s="2" t="inlineStr">
        <is>
          <t>Accesorios</t>
        </is>
      </c>
      <c r="B33" s="3" t="n">
        <v>34</v>
      </c>
      <c r="C33" s="3" t="n">
        <v>4</v>
      </c>
      <c r="D33" s="6">
        <f>IF(B33=0, "N/A", (C33-B33)/B33)</f>
        <v/>
      </c>
      <c r="E33" s="3" t="n">
        <v>26</v>
      </c>
      <c r="F33" s="3" t="n">
        <v>21</v>
      </c>
      <c r="G33" s="6">
        <f>IF(E33=0, "N/A", (F33-E33)/E33)</f>
        <v/>
      </c>
      <c r="H33" s="3" t="n">
        <v>63</v>
      </c>
      <c r="I33" s="3" t="n">
        <v>42</v>
      </c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Bermudas</t>
        </is>
      </c>
      <c r="B34" s="3" t="n"/>
      <c r="C34" s="3" t="n">
        <v>-1</v>
      </c>
      <c r="D34" s="6">
        <f>IF(B34=0, "N/A", (C34-B34)/B34)</f>
        <v/>
      </c>
      <c r="E34" s="3" t="n"/>
      <c r="F34" s="3" t="n">
        <v>1</v>
      </c>
      <c r="G34" s="6">
        <f>IF(E34=0, "N/A", (F34-E34)/E34)</f>
        <v/>
      </c>
      <c r="H34" s="3" t="n"/>
      <c r="I34" s="3" t="n">
        <v>5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Boxer</t>
        </is>
      </c>
      <c r="B35" s="3" t="n">
        <v>1</v>
      </c>
      <c r="C35" s="3" t="n">
        <v>4</v>
      </c>
      <c r="D35" s="6">
        <f>IF(B35=0, "N/A", (C35-B35)/B35)</f>
        <v/>
      </c>
      <c r="E35" s="3" t="n">
        <v>35</v>
      </c>
      <c r="F35" s="3" t="n">
        <v>6</v>
      </c>
      <c r="G35" s="6">
        <f>IF(E35=0, "N/A", (F35-E35)/E35)</f>
        <v/>
      </c>
      <c r="H35" s="3" t="n">
        <v>17</v>
      </c>
      <c r="I35" s="3" t="n">
        <v>74</v>
      </c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 C Capucha Rustico</t>
        </is>
      </c>
      <c r="B36" s="3" t="n"/>
      <c r="C36" s="3" t="n"/>
      <c r="D36" s="6">
        <f>IF(B36=0, "N/A", (C36-B36)/B36)</f>
        <v/>
      </c>
      <c r="E36" s="3" t="n"/>
      <c r="F36" s="3" t="n"/>
      <c r="G36" s="6">
        <f>IF(E36=0, "N/A", (F36-E36)/E36)</f>
        <v/>
      </c>
      <c r="H36" s="3" t="n"/>
      <c r="I36" s="3" t="n">
        <v>5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 Cuello Redondo</t>
        </is>
      </c>
      <c r="B37" s="3" t="n">
        <v>93</v>
      </c>
      <c r="C37" s="3" t="n">
        <v>29</v>
      </c>
      <c r="D37" s="6">
        <f>IF(B37=0, "N/A", (C37-B37)/B37)</f>
        <v/>
      </c>
      <c r="E37" s="3" t="n">
        <v>124</v>
      </c>
      <c r="F37" s="3" t="n">
        <v>30</v>
      </c>
      <c r="G37" s="6">
        <f>IF(E37=0, "N/A", (F37-E37)/E37)</f>
        <v/>
      </c>
      <c r="H37" s="3" t="n">
        <v>122</v>
      </c>
      <c r="I37" s="3" t="n">
        <v>156</v>
      </c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Buzos</t>
        </is>
      </c>
      <c r="B38" s="3" t="n">
        <v>1</v>
      </c>
      <c r="C38" s="3" t="n"/>
      <c r="D38" s="6">
        <f>IF(B38=0, "N/A", (C38-B38)/B38)</f>
        <v/>
      </c>
      <c r="E38" s="3" t="n"/>
      <c r="F38" s="3" t="n"/>
      <c r="G38" s="6">
        <f>IF(E38=0, "N/A", (F38-E38)/E38)</f>
        <v/>
      </c>
      <c r="H38" s="3" t="n"/>
      <c r="I38" s="3" t="n"/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Buzos C Capucha</t>
        </is>
      </c>
      <c r="B39" s="3" t="n">
        <v>58</v>
      </c>
      <c r="C39" s="3" t="n">
        <v>25</v>
      </c>
      <c r="D39" s="6">
        <f>IF(B39=0, "N/A", (C39-B39)/B39)</f>
        <v/>
      </c>
      <c r="E39" s="3" t="n">
        <v>43</v>
      </c>
      <c r="F39" s="3" t="n">
        <v>39</v>
      </c>
      <c r="G39" s="6">
        <f>IF(E39=0, "N/A", (F39-E39)/E39)</f>
        <v/>
      </c>
      <c r="H39" s="3" t="n">
        <v>234</v>
      </c>
      <c r="I39" s="3" t="n">
        <v>83</v>
      </c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Buzos C Capucha Orangutan</t>
        </is>
      </c>
      <c r="B40" s="3" t="n"/>
      <c r="C40" s="3" t="n">
        <v>1</v>
      </c>
      <c r="D40" s="6">
        <f>IF(B40=0, "N/A", (C40-B40)/B40)</f>
        <v/>
      </c>
      <c r="E40" s="3" t="n"/>
      <c r="F40" s="3" t="n">
        <v>4</v>
      </c>
      <c r="G40" s="6">
        <f>IF(E40=0, "N/A", (F40-E40)/E40)</f>
        <v/>
      </c>
      <c r="H40" s="3" t="n"/>
      <c r="I40" s="3" t="n">
        <v>9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Buzos C Redondo Orangutan</t>
        </is>
      </c>
      <c r="B41" s="3" t="n"/>
      <c r="C41" s="3" t="n">
        <v>1</v>
      </c>
      <c r="D41" s="6">
        <f>IF(B41=0, "N/A", (C41-B41)/B41)</f>
        <v/>
      </c>
      <c r="E41" s="3" t="n"/>
      <c r="F41" s="3" t="n"/>
      <c r="G41" s="6">
        <f>IF(E41=0, "N/A", (F41-E41)/E41)</f>
        <v/>
      </c>
      <c r="H41" s="3" t="n"/>
      <c r="I41" s="3" t="n">
        <v>18</v>
      </c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Buzos Medio Cierre</t>
        </is>
      </c>
      <c r="B42" s="3" t="n">
        <v>5</v>
      </c>
      <c r="C42" s="3" t="n">
        <v>12</v>
      </c>
      <c r="D42" s="6">
        <f>IF(B42=0, "N/A", (C42-B42)/B42)</f>
        <v/>
      </c>
      <c r="E42" s="3" t="n">
        <v>12</v>
      </c>
      <c r="F42" s="3" t="n">
        <v>11</v>
      </c>
      <c r="G42" s="6">
        <f>IF(E42=0, "N/A", (F42-E42)/E42)</f>
        <v/>
      </c>
      <c r="H42" s="3" t="n">
        <v>69</v>
      </c>
      <c r="I42" s="3" t="n">
        <v>38</v>
      </c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Calzado</t>
        </is>
      </c>
      <c r="B43" s="3" t="n"/>
      <c r="C43" s="3" t="n"/>
      <c r="D43" s="6">
        <f>IF(B43=0, "N/A", (C43-B43)/B43)</f>
        <v/>
      </c>
      <c r="E43" s="3" t="n"/>
      <c r="F43" s="3" t="n"/>
      <c r="G43" s="6">
        <f>IF(E43=0, "N/A", (F43-E43)/E43)</f>
        <v/>
      </c>
      <c r="H43" s="3" t="n"/>
      <c r="I43" s="3" t="n">
        <v>1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Camisas</t>
        </is>
      </c>
      <c r="B44" s="3" t="n">
        <v>9</v>
      </c>
      <c r="C44" s="3" t="n"/>
      <c r="D44" s="6">
        <f>IF(B44=0, "N/A", (C44-B44)/B44)</f>
        <v/>
      </c>
      <c r="E44" s="3" t="n">
        <v>6</v>
      </c>
      <c r="F44" s="3" t="n">
        <v>3</v>
      </c>
      <c r="G44" s="6">
        <f>IF(E44=0, "N/A", (F44-E44)/E44)</f>
        <v/>
      </c>
      <c r="H44" s="3" t="n">
        <v>11</v>
      </c>
      <c r="I44" s="3" t="n">
        <v>1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Camisetas Manga Larga</t>
        </is>
      </c>
      <c r="B45" s="3" t="n">
        <v>42</v>
      </c>
      <c r="C45" s="3" t="n">
        <v>55</v>
      </c>
      <c r="D45" s="6">
        <f>IF(B45=0, "N/A", (C45-B45)/B45)</f>
        <v/>
      </c>
      <c r="E45" s="3" t="n">
        <v>78</v>
      </c>
      <c r="F45" s="3" t="n">
        <v>74</v>
      </c>
      <c r="G45" s="6">
        <f>IF(E45=0, "N/A", (F45-E45)/E45)</f>
        <v/>
      </c>
      <c r="H45" s="3" t="n">
        <v>124</v>
      </c>
      <c r="I45" s="3" t="n">
        <v>71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Campera S Capucha</t>
        </is>
      </c>
      <c r="B46" s="3" t="n">
        <v>8</v>
      </c>
      <c r="C46" s="3" t="n">
        <v>2</v>
      </c>
      <c r="D46" s="6">
        <f>IF(B46=0, "N/A", (C46-B46)/B46)</f>
        <v/>
      </c>
      <c r="E46" s="3" t="n">
        <v>14</v>
      </c>
      <c r="F46" s="3" t="n">
        <v>1</v>
      </c>
      <c r="G46" s="6">
        <f>IF(E46=0, "N/A", (F46-E46)/E46)</f>
        <v/>
      </c>
      <c r="H46" s="3" t="n">
        <v>36</v>
      </c>
      <c r="I46" s="3" t="n">
        <v>10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Camperas Capucha</t>
        </is>
      </c>
      <c r="B47" s="3" t="n">
        <v>36</v>
      </c>
      <c r="C47" s="3" t="n">
        <v>34</v>
      </c>
      <c r="D47" s="6">
        <f>IF(B47=0, "N/A", (C47-B47)/B47)</f>
        <v/>
      </c>
      <c r="E47" s="3" t="n">
        <v>25</v>
      </c>
      <c r="F47" s="3" t="n">
        <v>35</v>
      </c>
      <c r="G47" s="6">
        <f>IF(E47=0, "N/A", (F47-E47)/E47)</f>
        <v/>
      </c>
      <c r="H47" s="3" t="n">
        <v>71</v>
      </c>
      <c r="I47" s="3" t="n">
        <v>91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Camperas De Abrigo</t>
        </is>
      </c>
      <c r="B48" s="3" t="n">
        <v>12</v>
      </c>
      <c r="C48" s="3" t="n">
        <v>15</v>
      </c>
      <c r="D48" s="6">
        <f>IF(B48=0, "N/A", (C48-B48)/B48)</f>
        <v/>
      </c>
      <c r="E48" s="3" t="n">
        <v>17</v>
      </c>
      <c r="F48" s="3" t="n">
        <v>12</v>
      </c>
      <c r="G48" s="6">
        <f>IF(E48=0, "N/A", (F48-E48)/E48)</f>
        <v/>
      </c>
      <c r="H48" s="3" t="n">
        <v>25</v>
      </c>
      <c r="I48" s="3" t="n">
        <v>49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Chombas</t>
        </is>
      </c>
      <c r="B49" s="3" t="n">
        <v>4</v>
      </c>
      <c r="C49" s="3" t="n">
        <v>3</v>
      </c>
      <c r="D49" s="6">
        <f>IF(B49=0, "N/A", (C49-B49)/B49)</f>
        <v/>
      </c>
      <c r="E49" s="3" t="n">
        <v>6</v>
      </c>
      <c r="F49" s="3" t="n">
        <v>3</v>
      </c>
      <c r="G49" s="6">
        <f>IF(E49=0, "N/A", (F49-E49)/E49)</f>
        <v/>
      </c>
      <c r="H49" s="3" t="n">
        <v>10</v>
      </c>
      <c r="I49" s="3" t="n">
        <v>15</v>
      </c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Chombas Manga Larga</t>
        </is>
      </c>
      <c r="B50" s="3" t="n">
        <v>1</v>
      </c>
      <c r="C50" s="3" t="n">
        <v>23</v>
      </c>
      <c r="D50" s="6">
        <f>IF(B50=0, "N/A", (C50-B50)/B50)</f>
        <v/>
      </c>
      <c r="E50" s="3" t="n"/>
      <c r="F50" s="3" t="n">
        <v>25</v>
      </c>
      <c r="G50" s="6">
        <f>IF(E50=0, "N/A", (F50-E50)/E50)</f>
        <v/>
      </c>
      <c r="H50" s="3" t="n">
        <v>2</v>
      </c>
      <c r="I50" s="3" t="n">
        <v>3</v>
      </c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Jeans</t>
        </is>
      </c>
      <c r="B51" s="3" t="n">
        <v>43</v>
      </c>
      <c r="C51" s="3" t="n">
        <v>60</v>
      </c>
      <c r="D51" s="6">
        <f>IF(B51=0, "N/A", (C51-B51)/B51)</f>
        <v/>
      </c>
      <c r="E51" s="3" t="n">
        <v>80</v>
      </c>
      <c r="F51" s="3" t="n">
        <v>62</v>
      </c>
      <c r="G51" s="6">
        <f>IF(E51=0, "N/A", (F51-E51)/E51)</f>
        <v/>
      </c>
      <c r="H51" s="3" t="n">
        <v>180</v>
      </c>
      <c r="I51" s="3" t="n">
        <v>262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Jogging</t>
        </is>
      </c>
      <c r="B52" s="3" t="n">
        <v>47</v>
      </c>
      <c r="C52" s="3" t="n">
        <v>10</v>
      </c>
      <c r="D52" s="6">
        <f>IF(B52=0, "N/A", (C52-B52)/B52)</f>
        <v/>
      </c>
      <c r="E52" s="3" t="n">
        <v>32</v>
      </c>
      <c r="F52" s="3" t="n">
        <v>17</v>
      </c>
      <c r="G52" s="6">
        <f>IF(E52=0, "N/A", (F52-E52)/E52)</f>
        <v/>
      </c>
      <c r="H52" s="3" t="n">
        <v>79</v>
      </c>
      <c r="I52" s="3" t="n">
        <v>53</v>
      </c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Jogging Corto</t>
        </is>
      </c>
      <c r="B53" s="3" t="n"/>
      <c r="C53" s="3" t="n"/>
      <c r="D53" s="6">
        <f>IF(B53=0, "N/A", (C53-B53)/B53)</f>
        <v/>
      </c>
      <c r="E53" s="3" t="n"/>
      <c r="F53" s="3" t="n">
        <v>1</v>
      </c>
      <c r="G53" s="6">
        <f>IF(E53=0, "N/A", (F53-E53)/E53)</f>
        <v/>
      </c>
      <c r="H53" s="3" t="n"/>
      <c r="I53" s="3" t="n"/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Musculosas</t>
        </is>
      </c>
      <c r="B54" s="3" t="n"/>
      <c r="C54" s="3" t="n">
        <v>-1</v>
      </c>
      <c r="D54" s="6">
        <f>IF(B54=0, "N/A", (C54-B54)/B54)</f>
        <v/>
      </c>
      <c r="E54" s="3" t="n">
        <v>1</v>
      </c>
      <c r="F54" s="3" t="n"/>
      <c r="G54" s="6">
        <f>IF(E54=0, "N/A", (F54-E54)/E54)</f>
        <v/>
      </c>
      <c r="H54" s="3" t="n"/>
      <c r="I54" s="3" t="n">
        <v>3</v>
      </c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2" t="inlineStr">
        <is>
          <t>Other</t>
        </is>
      </c>
      <c r="B55" s="3" t="n">
        <v>1</v>
      </c>
      <c r="C55" s="3" t="n"/>
      <c r="D55" s="6">
        <f>IF(B55=0, "N/A", (C55-B55)/B55)</f>
        <v/>
      </c>
      <c r="E55" s="3" t="n">
        <v>5</v>
      </c>
      <c r="F55" s="3" t="n"/>
      <c r="G55" s="6">
        <f>IF(E55=0, "N/A", (F55-E55)/E55)</f>
        <v/>
      </c>
      <c r="H55" s="3" t="n">
        <v>1</v>
      </c>
      <c r="I55" s="3" t="n">
        <v>2</v>
      </c>
      <c r="J55" s="6">
        <f>IF(H55=0, "N/A", (I55-H55)/H55)</f>
        <v/>
      </c>
      <c r="K55" s="3">
        <f>B55+E55+H55</f>
        <v/>
      </c>
      <c r="L55" s="3">
        <f>C55+F55+I55</f>
        <v/>
      </c>
      <c r="M55" s="6">
        <f>IF(K55=0, "N/A", (L55-K55)/K55)</f>
        <v/>
      </c>
    </row>
    <row r="56">
      <c r="A56" s="2" t="inlineStr">
        <is>
          <t>Remeras</t>
        </is>
      </c>
      <c r="B56" s="3" t="n">
        <v>122</v>
      </c>
      <c r="C56" s="3" t="n">
        <v>103</v>
      </c>
      <c r="D56" s="6">
        <f>IF(B56=0, "N/A", (C56-B56)/B56)</f>
        <v/>
      </c>
      <c r="E56" s="3" t="n">
        <v>164</v>
      </c>
      <c r="F56" s="3" t="n">
        <v>232</v>
      </c>
      <c r="G56" s="6">
        <f>IF(E56=0, "N/A", (F56-E56)/E56)</f>
        <v/>
      </c>
      <c r="H56" s="3" t="n">
        <v>328</v>
      </c>
      <c r="I56" s="3" t="n">
        <v>263</v>
      </c>
      <c r="J56" s="6">
        <f>IF(H56=0, "N/A", (I56-H56)/H56)</f>
        <v/>
      </c>
      <c r="K56" s="3">
        <f>B56+E56+H56</f>
        <v/>
      </c>
      <c r="L56" s="3">
        <f>C56+F56+I56</f>
        <v/>
      </c>
      <c r="M56" s="6">
        <f>IF(K56=0, "N/A", (L56-K56)/K56)</f>
        <v/>
      </c>
    </row>
    <row r="57">
      <c r="A57" s="2" t="inlineStr">
        <is>
          <t>Sweaters</t>
        </is>
      </c>
      <c r="B57" s="3" t="n">
        <v>15</v>
      </c>
      <c r="C57" s="3" t="n">
        <v>28</v>
      </c>
      <c r="D57" s="6">
        <f>IF(B57=0, "N/A", (C57-B57)/B57)</f>
        <v/>
      </c>
      <c r="E57" s="3" t="n">
        <v>27</v>
      </c>
      <c r="F57" s="3" t="n">
        <v>18</v>
      </c>
      <c r="G57" s="6">
        <f>IF(E57=0, "N/A", (F57-E57)/E57)</f>
        <v/>
      </c>
      <c r="H57" s="3" t="n">
        <v>53</v>
      </c>
      <c r="I57" s="3" t="n">
        <v>34</v>
      </c>
      <c r="J57" s="6">
        <f>IF(H57=0, "N/A", (I57-H57)/H57)</f>
        <v/>
      </c>
      <c r="K57" s="3">
        <f>B57+E57+H57</f>
        <v/>
      </c>
      <c r="L57" s="3">
        <f>C57+F57+I57</f>
        <v/>
      </c>
      <c r="M57" s="6">
        <f>IF(K57=0, "N/A", (L57-K57)/K57)</f>
        <v/>
      </c>
    </row>
    <row r="58">
      <c r="A58" s="2" t="inlineStr">
        <is>
          <t>Trajes De Baño</t>
        </is>
      </c>
      <c r="B58" s="3" t="n"/>
      <c r="C58" s="3" t="n"/>
      <c r="D58" s="6">
        <f>IF(B58=0, "N/A", (C58-B58)/B58)</f>
        <v/>
      </c>
      <c r="E58" s="3" t="n">
        <v>1</v>
      </c>
      <c r="F58" s="3" t="n"/>
      <c r="G58" s="6">
        <f>IF(E58=0, "N/A", (F58-E58)/E58)</f>
        <v/>
      </c>
      <c r="H58" s="3" t="n">
        <v>1</v>
      </c>
      <c r="I58" s="3" t="n"/>
      <c r="J58" s="6">
        <f>IF(H58=0, "N/A", (I58-H58)/H58)</f>
        <v/>
      </c>
      <c r="K58" s="3">
        <f>B58+E58+H58</f>
        <v/>
      </c>
      <c r="L58" s="3">
        <f>C58+F58+I58</f>
        <v/>
      </c>
      <c r="M58" s="6">
        <f>IF(K58=0, "N/A", (L58-K58)/K58)</f>
        <v/>
      </c>
    </row>
    <row r="59">
      <c r="A59" s="5" t="inlineStr">
        <is>
          <t>Totals</t>
        </is>
      </c>
      <c r="B59" s="4">
        <f>SUM($B33:$B58)</f>
        <v/>
      </c>
      <c r="C59" s="4">
        <f>SUM($C33:$C58)</f>
        <v/>
      </c>
      <c r="D59" s="7">
        <f>IF(B59=0, "N/A", (C59-B59)/B59)</f>
        <v/>
      </c>
      <c r="E59" s="4">
        <f>SUM($E33:$E58)</f>
        <v/>
      </c>
      <c r="F59" s="4">
        <f>SUM($F33:$F58)</f>
        <v/>
      </c>
      <c r="G59" s="7">
        <f>IF(E59=0, "N/A", (F59-E59)/E59)</f>
        <v/>
      </c>
      <c r="H59" s="4">
        <f>SUM($H33:$H58)</f>
        <v/>
      </c>
      <c r="I59" s="4">
        <f>SUM($I33:$I58)</f>
        <v/>
      </c>
      <c r="J59" s="7">
        <f>IF(H59=0, "N/A", (I59-H59)/H59)</f>
        <v/>
      </c>
      <c r="K59" s="4">
        <f>SUM($K33:$K58)</f>
        <v/>
      </c>
      <c r="L59" s="4">
        <f>SUM($L33:$L58)</f>
        <v/>
      </c>
      <c r="M59" s="7">
        <f>IF(K59=0, "N/A", (L59-K59)/K59)</f>
        <v/>
      </c>
    </row>
    <row r="62">
      <c r="A62" s="1" t="inlineStr">
        <is>
          <t>YoY Comparison - Branch Group 2</t>
        </is>
      </c>
    </row>
    <row r="63">
      <c r="B63" s="1" t="inlineStr">
        <is>
          <t>VIRREYES</t>
        </is>
      </c>
      <c r="C63" s="1" t="n"/>
      <c r="D63" s="1" t="n"/>
    </row>
    <row r="64">
      <c r="A64" s="1" t="inlineStr">
        <is>
          <t>Familias</t>
        </is>
      </c>
      <c r="B64" s="1" t="n">
        <v>2025</v>
      </c>
      <c r="C64" s="1" t="n">
        <v>2026</v>
      </c>
      <c r="D64" s="1" t="inlineStr">
        <is>
          <t>%</t>
        </is>
      </c>
    </row>
    <row r="65">
      <c r="A65" s="2" t="inlineStr">
        <is>
          <t>Accesorios</t>
        </is>
      </c>
      <c r="B65" s="3" t="n">
        <v>3</v>
      </c>
      <c r="C65" s="3" t="n">
        <v>2</v>
      </c>
      <c r="D65" s="6">
        <f>IF(B65=0, "N/A", (C65-B65)/B65)</f>
        <v/>
      </c>
    </row>
    <row r="66">
      <c r="A66" s="2" t="inlineStr">
        <is>
          <t>Boxer</t>
        </is>
      </c>
      <c r="B66" s="3" t="n">
        <v>3</v>
      </c>
      <c r="C66" s="3" t="n">
        <v>5</v>
      </c>
      <c r="D66" s="6">
        <f>IF(B66=0, "N/A", (C66-B66)/B66)</f>
        <v/>
      </c>
    </row>
    <row r="67">
      <c r="A67" s="2" t="inlineStr">
        <is>
          <t>Buzo Cuello Redondo</t>
        </is>
      </c>
      <c r="B67" s="3" t="n">
        <v>12</v>
      </c>
      <c r="C67" s="3" t="n">
        <v>2</v>
      </c>
      <c r="D67" s="6">
        <f>IF(B67=0, "N/A", (C67-B67)/B67)</f>
        <v/>
      </c>
    </row>
    <row r="68">
      <c r="A68" s="2" t="inlineStr">
        <is>
          <t>Buzos C Capucha</t>
        </is>
      </c>
      <c r="B68" s="3" t="n">
        <v>19</v>
      </c>
      <c r="C68" s="3" t="n">
        <v>3</v>
      </c>
      <c r="D68" s="6">
        <f>IF(B68=0, "N/A", (C68-B68)/B68)</f>
        <v/>
      </c>
    </row>
    <row r="69">
      <c r="A69" s="2" t="inlineStr">
        <is>
          <t>Buzos C Capucha Orangutan</t>
        </is>
      </c>
      <c r="B69" s="3" t="n"/>
      <c r="C69" s="3" t="n">
        <v>2</v>
      </c>
      <c r="D69" s="6">
        <f>IF(B69=0, "N/A", (C69-B69)/B69)</f>
        <v/>
      </c>
    </row>
    <row r="70">
      <c r="A70" s="2" t="inlineStr">
        <is>
          <t>Calzado</t>
        </is>
      </c>
      <c r="B70" s="3" t="n">
        <v>2</v>
      </c>
      <c r="C70" s="3" t="n"/>
      <c r="D70" s="6">
        <f>IF(B70=0, "N/A", (C70-B70)/B70)</f>
        <v/>
      </c>
    </row>
    <row r="71">
      <c r="A71" s="2" t="inlineStr">
        <is>
          <t>Camisas</t>
        </is>
      </c>
      <c r="B71" s="3" t="n"/>
      <c r="C71" s="3" t="n"/>
      <c r="D71" s="6">
        <f>IF(B71=0, "N/A", (C71-B71)/B71)</f>
        <v/>
      </c>
    </row>
    <row r="72">
      <c r="A72" s="2" t="inlineStr">
        <is>
          <t>Camisetas Manga Larga</t>
        </is>
      </c>
      <c r="B72" s="3" t="n">
        <v>4</v>
      </c>
      <c r="C72" s="3" t="n"/>
      <c r="D72" s="6">
        <f>IF(B72=0, "N/A", (C72-B72)/B72)</f>
        <v/>
      </c>
    </row>
    <row r="73">
      <c r="A73" s="2" t="inlineStr">
        <is>
          <t>Camperas Capucha</t>
        </is>
      </c>
      <c r="B73" s="3" t="n">
        <v>6</v>
      </c>
      <c r="C73" s="3" t="n">
        <v>7</v>
      </c>
      <c r="D73" s="6">
        <f>IF(B73=0, "N/A", (C73-B73)/B73)</f>
        <v/>
      </c>
    </row>
    <row r="74">
      <c r="A74" s="2" t="inlineStr">
        <is>
          <t>Camperas De Abrigo</t>
        </is>
      </c>
      <c r="B74" s="3" t="n">
        <v>5</v>
      </c>
      <c r="C74" s="3" t="n">
        <v>1</v>
      </c>
      <c r="D74" s="6">
        <f>IF(B74=0, "N/A", (C74-B74)/B74)</f>
        <v/>
      </c>
    </row>
    <row r="75">
      <c r="A75" s="2" t="inlineStr">
        <is>
          <t>Chombas</t>
        </is>
      </c>
      <c r="B75" s="3" t="n"/>
      <c r="C75" s="3" t="n">
        <v>1</v>
      </c>
      <c r="D75" s="6">
        <f>IF(B75=0, "N/A", (C75-B75)/B75)</f>
        <v/>
      </c>
    </row>
    <row r="76">
      <c r="A76" s="2" t="inlineStr">
        <is>
          <t>Jeans</t>
        </is>
      </c>
      <c r="B76" s="3" t="n">
        <v>10</v>
      </c>
      <c r="C76" s="3" t="n">
        <v>18</v>
      </c>
      <c r="D76" s="6">
        <f>IF(B76=0, "N/A", (C76-B76)/B76)</f>
        <v/>
      </c>
    </row>
    <row r="77">
      <c r="A77" s="2" t="inlineStr">
        <is>
          <t>Jogging</t>
        </is>
      </c>
      <c r="B77" s="3" t="n">
        <v>6</v>
      </c>
      <c r="C77" s="3" t="n">
        <v>2</v>
      </c>
      <c r="D77" s="6">
        <f>IF(B77=0, "N/A", (C77-B77)/B77)</f>
        <v/>
      </c>
    </row>
    <row r="78">
      <c r="A78" s="2" t="inlineStr">
        <is>
          <t>Other</t>
        </is>
      </c>
      <c r="B78" s="3" t="n">
        <v>2</v>
      </c>
      <c r="C78" s="3" t="n"/>
      <c r="D78" s="6">
        <f>IF(B78=0, "N/A", (C78-B78)/B78)</f>
        <v/>
      </c>
    </row>
    <row r="79">
      <c r="A79" s="2" t="inlineStr">
        <is>
          <t>Remeras</t>
        </is>
      </c>
      <c r="B79" s="3" t="n">
        <v>41</v>
      </c>
      <c r="C79" s="3" t="n">
        <v>23</v>
      </c>
      <c r="D79" s="6">
        <f>IF(B79=0, "N/A", (C79-B79)/B79)</f>
        <v/>
      </c>
    </row>
    <row r="80">
      <c r="A80" s="2" t="inlineStr">
        <is>
          <t>Sweaters</t>
        </is>
      </c>
      <c r="B80" s="3" t="n">
        <v>2</v>
      </c>
      <c r="C80" s="3" t="n">
        <v>2</v>
      </c>
      <c r="D80" s="6">
        <f>IF(B80=0, "N/A", (C80-B80)/B80)</f>
        <v/>
      </c>
    </row>
    <row r="81">
      <c r="A81" s="5" t="inlineStr">
        <is>
          <t>Totals</t>
        </is>
      </c>
      <c r="B81" s="4">
        <f>SUM($B65:$B80)</f>
        <v/>
      </c>
      <c r="C81" s="4">
        <f>SUM($C65:$C80)</f>
        <v/>
      </c>
      <c r="D81" s="7">
        <f>IF(B81=0, "N/A", (C81-B81)/B81)</f>
        <v/>
      </c>
    </row>
  </sheetData>
  <mergeCells count="8">
    <mergeCell ref="A1:F1"/>
    <mergeCell ref="A62:D62"/>
    <mergeCell ref="A30:M30"/>
    <mergeCell ref="B31:C31"/>
    <mergeCell ref="H31:I31"/>
    <mergeCell ref="K31:L31"/>
    <mergeCell ref="B63:C63"/>
    <mergeCell ref="E31:F3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Sales from May 02, 2026 to May 31,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35</v>
      </c>
      <c r="C3" s="3" t="n">
        <v>50</v>
      </c>
      <c r="D3" s="3" t="n">
        <v>70</v>
      </c>
      <c r="E3" s="3" t="n">
        <v>1</v>
      </c>
      <c r="F3" s="4">
        <f>B3+C3+D3+E3</f>
        <v/>
      </c>
    </row>
    <row r="4">
      <c r="A4" s="2" t="inlineStr">
        <is>
          <t>Bermudas</t>
        </is>
      </c>
      <c r="B4" s="3" t="n"/>
      <c r="C4" s="3" t="n">
        <v>1</v>
      </c>
      <c r="D4" s="3" t="n">
        <v>-1</v>
      </c>
      <c r="E4" s="3" t="n"/>
      <c r="F4" s="4">
        <f>B4+C4+D4+E4</f>
        <v/>
      </c>
    </row>
    <row r="5">
      <c r="A5" s="2" t="inlineStr">
        <is>
          <t>Boxer</t>
        </is>
      </c>
      <c r="B5" s="3" t="n">
        <v>10</v>
      </c>
      <c r="C5" s="3" t="n">
        <v>32</v>
      </c>
      <c r="D5" s="3" t="n">
        <v>103</v>
      </c>
      <c r="E5" s="3" t="n">
        <v>2</v>
      </c>
      <c r="F5" s="4">
        <f>B5+C5+D5+E5</f>
        <v/>
      </c>
    </row>
    <row r="6">
      <c r="A6" s="2" t="inlineStr">
        <is>
          <t>Buzo C Capucha Rustico</t>
        </is>
      </c>
      <c r="B6" s="3" t="n"/>
      <c r="C6" s="3" t="n"/>
      <c r="D6" s="3" t="n">
        <v>1</v>
      </c>
      <c r="E6" s="3" t="n"/>
      <c r="F6" s="4">
        <f>B6+C6+D6+E6</f>
        <v/>
      </c>
    </row>
    <row r="7">
      <c r="A7" s="2" t="inlineStr">
        <is>
          <t>Buzo Cuello Redondo</t>
        </is>
      </c>
      <c r="B7" s="3" t="n">
        <v>52</v>
      </c>
      <c r="C7" s="3" t="n">
        <v>74</v>
      </c>
      <c r="D7" s="3" t="n">
        <v>191</v>
      </c>
      <c r="E7" s="3" t="n">
        <v>5</v>
      </c>
      <c r="F7" s="4">
        <f>B7+C7+D7+E7</f>
        <v/>
      </c>
    </row>
    <row r="8">
      <c r="A8" s="2" t="inlineStr">
        <is>
          <t>Buzos C Capucha</t>
        </is>
      </c>
      <c r="B8" s="3" t="n">
        <v>53</v>
      </c>
      <c r="C8" s="3" t="n">
        <v>77</v>
      </c>
      <c r="D8" s="3" t="n">
        <v>109</v>
      </c>
      <c r="E8" s="3" t="n">
        <v>13</v>
      </c>
      <c r="F8" s="4">
        <f>B8+C8+D8+E8</f>
        <v/>
      </c>
    </row>
    <row r="9">
      <c r="A9" s="2" t="inlineStr">
        <is>
          <t>Buzos C Capucha Orangutan</t>
        </is>
      </c>
      <c r="B9" s="3" t="n">
        <v>14</v>
      </c>
      <c r="C9" s="3" t="n">
        <v>18</v>
      </c>
      <c r="D9" s="3" t="n">
        <v>55</v>
      </c>
      <c r="E9" s="3" t="n">
        <v>4</v>
      </c>
      <c r="F9" s="4">
        <f>B9+C9+D9+E9</f>
        <v/>
      </c>
    </row>
    <row r="10">
      <c r="A10" s="2" t="inlineStr">
        <is>
          <t>Buzos C Redondo Orangutan</t>
        </is>
      </c>
      <c r="B10" s="3" t="n">
        <v>22</v>
      </c>
      <c r="C10" s="3" t="n">
        <v>57</v>
      </c>
      <c r="D10" s="3" t="n">
        <v>85</v>
      </c>
      <c r="E10" s="3" t="n">
        <v>1</v>
      </c>
      <c r="F10" s="4">
        <f>B10+C10+D10+E10</f>
        <v/>
      </c>
    </row>
    <row r="11">
      <c r="A11" s="2" t="inlineStr">
        <is>
          <t>Buzos Medio Cierre</t>
        </is>
      </c>
      <c r="B11" s="3" t="n">
        <v>21</v>
      </c>
      <c r="C11" s="3" t="n">
        <v>15</v>
      </c>
      <c r="D11" s="3" t="n">
        <v>68</v>
      </c>
      <c r="E11" s="3" t="n"/>
      <c r="F11" s="4">
        <f>B11+C11+D11+E11</f>
        <v/>
      </c>
    </row>
    <row r="12">
      <c r="A12" s="2" t="inlineStr">
        <is>
          <t>Camisas</t>
        </is>
      </c>
      <c r="B12" s="3" t="n">
        <v>2</v>
      </c>
      <c r="C12" s="3" t="n"/>
      <c r="D12" s="3" t="n"/>
      <c r="E12" s="3" t="n"/>
      <c r="F12" s="4">
        <f>B12+C12+D12+E12</f>
        <v/>
      </c>
    </row>
    <row r="13">
      <c r="A13" s="2" t="inlineStr">
        <is>
          <t>Camisetas Manga Larga</t>
        </is>
      </c>
      <c r="B13" s="3" t="n">
        <v>68</v>
      </c>
      <c r="C13" s="3" t="n">
        <v>104</v>
      </c>
      <c r="D13" s="3" t="n">
        <v>142</v>
      </c>
      <c r="E13" s="3" t="n"/>
      <c r="F13" s="4">
        <f>B13+C13+D13+E13</f>
        <v/>
      </c>
    </row>
    <row r="14">
      <c r="A14" s="2" t="inlineStr">
        <is>
          <t>Camisetas Manga Larga Orangutan</t>
        </is>
      </c>
      <c r="B14" s="3" t="n">
        <v>6</v>
      </c>
      <c r="C14" s="3" t="n">
        <v>17</v>
      </c>
      <c r="D14" s="3" t="n">
        <v>36</v>
      </c>
      <c r="E14" s="3" t="n">
        <v>4</v>
      </c>
      <c r="F14" s="4">
        <f>B14+C14+D14+E14</f>
        <v/>
      </c>
    </row>
    <row r="15">
      <c r="A15" s="2" t="inlineStr">
        <is>
          <t>Campera S Capucha</t>
        </is>
      </c>
      <c r="B15" s="3" t="n">
        <v>2</v>
      </c>
      <c r="C15" s="3" t="n">
        <v>2</v>
      </c>
      <c r="D15" s="3" t="n">
        <v>52</v>
      </c>
      <c r="E15" s="3" t="n"/>
      <c r="F15" s="4">
        <f>B15+C15+D15+E15</f>
        <v/>
      </c>
    </row>
    <row r="16">
      <c r="A16" s="2" t="inlineStr">
        <is>
          <t>Camperas Capucha</t>
        </is>
      </c>
      <c r="B16" s="3" t="n">
        <v>24</v>
      </c>
      <c r="C16" s="3" t="n">
        <v>22</v>
      </c>
      <c r="D16" s="3" t="n">
        <v>128</v>
      </c>
      <c r="E16" s="3" t="n">
        <v>1</v>
      </c>
      <c r="F16" s="4">
        <f>B16+C16+D16+E16</f>
        <v/>
      </c>
    </row>
    <row r="17">
      <c r="A17" s="2" t="inlineStr">
        <is>
          <t>Camperas De Abrigo</t>
        </is>
      </c>
      <c r="B17" s="3" t="n">
        <v>43</v>
      </c>
      <c r="C17" s="3" t="n">
        <v>32</v>
      </c>
      <c r="D17" s="3" t="n">
        <v>67</v>
      </c>
      <c r="E17" s="3" t="n">
        <v>2</v>
      </c>
      <c r="F17" s="4">
        <f>B17+C17+D17+E17</f>
        <v/>
      </c>
    </row>
    <row r="18">
      <c r="A18" s="2" t="inlineStr">
        <is>
          <t>Chombas</t>
        </is>
      </c>
      <c r="B18" s="3" t="n">
        <v>-1</v>
      </c>
      <c r="C18" s="3" t="n">
        <v>4</v>
      </c>
      <c r="D18" s="3" t="n">
        <v>1</v>
      </c>
      <c r="E18" s="3" t="n"/>
      <c r="F18" s="4">
        <f>B18+C18+D18+E18</f>
        <v/>
      </c>
    </row>
    <row r="19">
      <c r="A19" s="2" t="inlineStr">
        <is>
          <t>Chombas Manga Larga</t>
        </is>
      </c>
      <c r="B19" s="3" t="n">
        <v>16</v>
      </c>
      <c r="C19" s="3" t="n">
        <v>13</v>
      </c>
      <c r="D19" s="3" t="n">
        <v>-1</v>
      </c>
      <c r="E19" s="3" t="n">
        <v>1</v>
      </c>
      <c r="F19" s="4">
        <f>B19+C19+D19+E19</f>
        <v/>
      </c>
    </row>
    <row r="20">
      <c r="A20" s="2" t="inlineStr">
        <is>
          <t>Jeans</t>
        </is>
      </c>
      <c r="B20" s="3" t="n">
        <v>60</v>
      </c>
      <c r="C20" s="3" t="n">
        <v>56</v>
      </c>
      <c r="D20" s="3" t="n">
        <v>348</v>
      </c>
      <c r="E20" s="3" t="n">
        <v>8</v>
      </c>
      <c r="F20" s="4">
        <f>B20+C20+D20+E20</f>
        <v/>
      </c>
    </row>
    <row r="21">
      <c r="A21" s="2" t="inlineStr">
        <is>
          <t>Jogging</t>
        </is>
      </c>
      <c r="B21" s="3" t="n">
        <v>18</v>
      </c>
      <c r="C21" s="3" t="n">
        <v>24</v>
      </c>
      <c r="D21" s="3" t="n">
        <v>98</v>
      </c>
      <c r="E21" s="3" t="n">
        <v>3</v>
      </c>
      <c r="F21" s="4">
        <f>B21+C21+D21+E21</f>
        <v/>
      </c>
    </row>
    <row r="22">
      <c r="A22" s="2" t="inlineStr">
        <is>
          <t>Musculosas</t>
        </is>
      </c>
      <c r="B22" s="3" t="n">
        <v>1</v>
      </c>
      <c r="C22" s="3" t="n"/>
      <c r="D22" s="3" t="n"/>
      <c r="E22" s="3" t="n"/>
      <c r="F22" s="4">
        <f>B22+C22+D22+E22</f>
        <v/>
      </c>
    </row>
    <row r="23">
      <c r="A23" s="2" t="inlineStr">
        <is>
          <t>Other</t>
        </is>
      </c>
      <c r="B23" s="3" t="n"/>
      <c r="C23" s="3" t="n"/>
      <c r="D23" s="3" t="n">
        <v>1</v>
      </c>
      <c r="E23" s="3" t="n"/>
      <c r="F23" s="4">
        <f>B23+C23+D23+E23</f>
        <v/>
      </c>
    </row>
    <row r="24">
      <c r="A24" s="2" t="inlineStr">
        <is>
          <t>Remeras</t>
        </is>
      </c>
      <c r="B24" s="3" t="n">
        <v>46</v>
      </c>
      <c r="C24" s="3" t="n">
        <v>124</v>
      </c>
      <c r="D24" s="3" t="n">
        <v>127</v>
      </c>
      <c r="E24" s="3" t="n">
        <v>5</v>
      </c>
      <c r="F24" s="4">
        <f>B24+C24+D24+E24</f>
        <v/>
      </c>
    </row>
    <row r="25">
      <c r="A25" s="2" t="inlineStr">
        <is>
          <t>Sweaters</t>
        </is>
      </c>
      <c r="B25" s="3" t="n">
        <v>33</v>
      </c>
      <c r="C25" s="3" t="n">
        <v>34</v>
      </c>
      <c r="D25" s="3" t="n">
        <v>81</v>
      </c>
      <c r="E25" s="3" t="n"/>
      <c r="F25" s="4">
        <f>B25+C25+D25+E25</f>
        <v/>
      </c>
    </row>
    <row r="26">
      <c r="A26" s="2" t="inlineStr">
        <is>
          <t>Trajes De Baño</t>
        </is>
      </c>
      <c r="B26" s="3" t="n"/>
      <c r="C26" s="3" t="n">
        <v>1</v>
      </c>
      <c r="D26" s="3" t="n"/>
      <c r="E26" s="3" t="n"/>
      <c r="F26" s="4">
        <f>B26+C26+D26+E26</f>
        <v/>
      </c>
    </row>
    <row r="27">
      <c r="A27" s="5" t="inlineStr">
        <is>
          <t>Totals</t>
        </is>
      </c>
      <c r="B27" s="4">
        <f>SUM($B$3:$B$26)</f>
        <v/>
      </c>
      <c r="C27" s="4">
        <f>SUM($C$3:$C$26)</f>
        <v/>
      </c>
      <c r="D27" s="4">
        <f>SUM($D$3:$D$26)</f>
        <v/>
      </c>
      <c r="E27" s="4">
        <f>SUM($E$3:$E$26)</f>
        <v/>
      </c>
      <c r="F27" s="4">
        <f>SUM($F$3:$F$26)</f>
        <v/>
      </c>
    </row>
    <row r="30">
      <c r="A30" s="1" t="inlineStr">
        <is>
          <t>YoY Comparison - Branch Group 1</t>
        </is>
      </c>
    </row>
    <row r="31">
      <c r="B31" s="1" t="inlineStr">
        <is>
          <t>LIBERT.R</t>
        </is>
      </c>
      <c r="C31" s="1" t="n"/>
      <c r="D31" s="1" t="n"/>
      <c r="E31" s="1" t="inlineStr">
        <is>
          <t>PASO.R</t>
        </is>
      </c>
      <c r="F31" s="1" t="n"/>
      <c r="G31" s="1" t="n"/>
      <c r="H31" s="1" t="inlineStr">
        <is>
          <t>P.OESTE</t>
        </is>
      </c>
      <c r="I31" s="1" t="n"/>
      <c r="J31" s="1" t="n"/>
      <c r="K31" s="1" t="inlineStr">
        <is>
          <t>Global</t>
        </is>
      </c>
      <c r="L31" s="1" t="n"/>
      <c r="M31" s="1" t="n"/>
    </row>
    <row r="32">
      <c r="A32" s="1" t="inlineStr">
        <is>
          <t>Familias</t>
        </is>
      </c>
      <c r="B32" s="1" t="n">
        <v>2025</v>
      </c>
      <c r="C32" s="1" t="n">
        <v>2026</v>
      </c>
      <c r="D32" s="1" t="inlineStr">
        <is>
          <t>%</t>
        </is>
      </c>
      <c r="E32" s="1" t="n">
        <v>2025</v>
      </c>
      <c r="F32" s="1" t="n">
        <v>2026</v>
      </c>
      <c r="G32" s="1" t="inlineStr">
        <is>
          <t>%</t>
        </is>
      </c>
      <c r="H32" s="1" t="n">
        <v>2025</v>
      </c>
      <c r="I32" s="1" t="n">
        <v>2026</v>
      </c>
      <c r="J32" s="1" t="inlineStr">
        <is>
          <t>%</t>
        </is>
      </c>
      <c r="K32" s="1" t="n">
        <v>2025</v>
      </c>
      <c r="L32" s="1" t="n">
        <v>2026</v>
      </c>
      <c r="M32" s="1" t="inlineStr">
        <is>
          <t>%</t>
        </is>
      </c>
    </row>
    <row r="33">
      <c r="A33" s="2" t="inlineStr">
        <is>
          <t>Accesorios</t>
        </is>
      </c>
      <c r="B33" s="3" t="n">
        <v>52</v>
      </c>
      <c r="C33" s="3" t="n">
        <v>35</v>
      </c>
      <c r="D33" s="6">
        <f>IF(B33=0, "N/A", (C33-B33)/B33)</f>
        <v/>
      </c>
      <c r="E33" s="3" t="n">
        <v>45</v>
      </c>
      <c r="F33" s="3" t="n">
        <v>50</v>
      </c>
      <c r="G33" s="6">
        <f>IF(E33=0, "N/A", (F33-E33)/E33)</f>
        <v/>
      </c>
      <c r="H33" s="3" t="n">
        <v>91</v>
      </c>
      <c r="I33" s="3" t="n">
        <v>70</v>
      </c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Bermudas</t>
        </is>
      </c>
      <c r="B34" s="3" t="n"/>
      <c r="C34" s="3" t="n"/>
      <c r="D34" s="6">
        <f>IF(B34=0, "N/A", (C34-B34)/B34)</f>
        <v/>
      </c>
      <c r="E34" s="3" t="n">
        <v>1</v>
      </c>
      <c r="F34" s="3" t="n">
        <v>1</v>
      </c>
      <c r="G34" s="6">
        <f>IF(E34=0, "N/A", (F34-E34)/E34)</f>
        <v/>
      </c>
      <c r="H34" s="3" t="n">
        <v>2</v>
      </c>
      <c r="I34" s="3" t="n">
        <v>-1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Boxer</t>
        </is>
      </c>
      <c r="B35" s="3" t="n">
        <v>25</v>
      </c>
      <c r="C35" s="3" t="n">
        <v>10</v>
      </c>
      <c r="D35" s="6">
        <f>IF(B35=0, "N/A", (C35-B35)/B35)</f>
        <v/>
      </c>
      <c r="E35" s="3" t="n">
        <v>28</v>
      </c>
      <c r="F35" s="3" t="n">
        <v>32</v>
      </c>
      <c r="G35" s="6">
        <f>IF(E35=0, "N/A", (F35-E35)/E35)</f>
        <v/>
      </c>
      <c r="H35" s="3" t="n">
        <v>55</v>
      </c>
      <c r="I35" s="3" t="n">
        <v>103</v>
      </c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 C Capucha Rustico</t>
        </is>
      </c>
      <c r="B36" s="3" t="n"/>
      <c r="C36" s="3" t="n"/>
      <c r="D36" s="6">
        <f>IF(B36=0, "N/A", (C36-B36)/B36)</f>
        <v/>
      </c>
      <c r="E36" s="3" t="n"/>
      <c r="F36" s="3" t="n"/>
      <c r="G36" s="6">
        <f>IF(E36=0, "N/A", (F36-E36)/E36)</f>
        <v/>
      </c>
      <c r="H36" s="3" t="n"/>
      <c r="I36" s="3" t="n">
        <v>1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 Cuello Redondo</t>
        </is>
      </c>
      <c r="B37" s="3" t="n">
        <v>31</v>
      </c>
      <c r="C37" s="3" t="n">
        <v>52</v>
      </c>
      <c r="D37" s="6">
        <f>IF(B37=0, "N/A", (C37-B37)/B37)</f>
        <v/>
      </c>
      <c r="E37" s="3" t="n">
        <v>89</v>
      </c>
      <c r="F37" s="3" t="n">
        <v>74</v>
      </c>
      <c r="G37" s="6">
        <f>IF(E37=0, "N/A", (F37-E37)/E37)</f>
        <v/>
      </c>
      <c r="H37" s="3" t="n">
        <v>157</v>
      </c>
      <c r="I37" s="3" t="n">
        <v>191</v>
      </c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Buzos C Capucha</t>
        </is>
      </c>
      <c r="B38" s="3" t="n">
        <v>91</v>
      </c>
      <c r="C38" s="3" t="n">
        <v>53</v>
      </c>
      <c r="D38" s="6">
        <f>IF(B38=0, "N/A", (C38-B38)/B38)</f>
        <v/>
      </c>
      <c r="E38" s="3" t="n">
        <v>62</v>
      </c>
      <c r="F38" s="3" t="n">
        <v>77</v>
      </c>
      <c r="G38" s="6">
        <f>IF(E38=0, "N/A", (F38-E38)/E38)</f>
        <v/>
      </c>
      <c r="H38" s="3" t="n">
        <v>191</v>
      </c>
      <c r="I38" s="3" t="n">
        <v>109</v>
      </c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Buzos C Capucha Orangutan</t>
        </is>
      </c>
      <c r="B39" s="3" t="n"/>
      <c r="C39" s="3" t="n">
        <v>14</v>
      </c>
      <c r="D39" s="6">
        <f>IF(B39=0, "N/A", (C39-B39)/B39)</f>
        <v/>
      </c>
      <c r="E39" s="3" t="n"/>
      <c r="F39" s="3" t="n">
        <v>18</v>
      </c>
      <c r="G39" s="6">
        <f>IF(E39=0, "N/A", (F39-E39)/E39)</f>
        <v/>
      </c>
      <c r="H39" s="3" t="n"/>
      <c r="I39" s="3" t="n">
        <v>55</v>
      </c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Buzos C Redondo Orangutan</t>
        </is>
      </c>
      <c r="B40" s="3" t="n"/>
      <c r="C40" s="3" t="n">
        <v>22</v>
      </c>
      <c r="D40" s="6">
        <f>IF(B40=0, "N/A", (C40-B40)/B40)</f>
        <v/>
      </c>
      <c r="E40" s="3" t="n"/>
      <c r="F40" s="3" t="n">
        <v>57</v>
      </c>
      <c r="G40" s="6">
        <f>IF(E40=0, "N/A", (F40-E40)/E40)</f>
        <v/>
      </c>
      <c r="H40" s="3" t="n"/>
      <c r="I40" s="3" t="n">
        <v>85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Buzos Medio Cierre</t>
        </is>
      </c>
      <c r="B41" s="3" t="n">
        <v>5</v>
      </c>
      <c r="C41" s="3" t="n">
        <v>21</v>
      </c>
      <c r="D41" s="6">
        <f>IF(B41=0, "N/A", (C41-B41)/B41)</f>
        <v/>
      </c>
      <c r="E41" s="3" t="n">
        <v>3</v>
      </c>
      <c r="F41" s="3" t="n">
        <v>15</v>
      </c>
      <c r="G41" s="6">
        <f>IF(E41=0, "N/A", (F41-E41)/E41)</f>
        <v/>
      </c>
      <c r="H41" s="3" t="n">
        <v>37</v>
      </c>
      <c r="I41" s="3" t="n">
        <v>68</v>
      </c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Camisas</t>
        </is>
      </c>
      <c r="B42" s="3" t="n">
        <v>6</v>
      </c>
      <c r="C42" s="3" t="n">
        <v>2</v>
      </c>
      <c r="D42" s="6">
        <f>IF(B42=0, "N/A", (C42-B42)/B42)</f>
        <v/>
      </c>
      <c r="E42" s="3" t="n">
        <v>1</v>
      </c>
      <c r="F42" s="3" t="n"/>
      <c r="G42" s="6">
        <f>IF(E42=0, "N/A", (F42-E42)/E42)</f>
        <v/>
      </c>
      <c r="H42" s="3" t="n">
        <v>6</v>
      </c>
      <c r="I42" s="3" t="n"/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Camisetas Manga Larga</t>
        </is>
      </c>
      <c r="B43" s="3" t="n">
        <v>59</v>
      </c>
      <c r="C43" s="3" t="n">
        <v>68</v>
      </c>
      <c r="D43" s="6">
        <f>IF(B43=0, "N/A", (C43-B43)/B43)</f>
        <v/>
      </c>
      <c r="E43" s="3" t="n">
        <v>109</v>
      </c>
      <c r="F43" s="3" t="n">
        <v>104</v>
      </c>
      <c r="G43" s="6">
        <f>IF(E43=0, "N/A", (F43-E43)/E43)</f>
        <v/>
      </c>
      <c r="H43" s="3" t="n">
        <v>36</v>
      </c>
      <c r="I43" s="3" t="n">
        <v>142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Camisetas Manga Larga Orangutan</t>
        </is>
      </c>
      <c r="B44" s="3" t="n"/>
      <c r="C44" s="3" t="n">
        <v>6</v>
      </c>
      <c r="D44" s="6">
        <f>IF(B44=0, "N/A", (C44-B44)/B44)</f>
        <v/>
      </c>
      <c r="E44" s="3" t="n"/>
      <c r="F44" s="3" t="n">
        <v>17</v>
      </c>
      <c r="G44" s="6">
        <f>IF(E44=0, "N/A", (F44-E44)/E44)</f>
        <v/>
      </c>
      <c r="H44" s="3" t="n"/>
      <c r="I44" s="3" t="n">
        <v>36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Campera S Capucha</t>
        </is>
      </c>
      <c r="B45" s="3" t="n">
        <v>12</v>
      </c>
      <c r="C45" s="3" t="n">
        <v>2</v>
      </c>
      <c r="D45" s="6">
        <f>IF(B45=0, "N/A", (C45-B45)/B45)</f>
        <v/>
      </c>
      <c r="E45" s="3" t="n">
        <v>20</v>
      </c>
      <c r="F45" s="3" t="n">
        <v>2</v>
      </c>
      <c r="G45" s="6">
        <f>IF(E45=0, "N/A", (F45-E45)/E45)</f>
        <v/>
      </c>
      <c r="H45" s="3" t="n">
        <v>53</v>
      </c>
      <c r="I45" s="3" t="n">
        <v>52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Camperas Capucha</t>
        </is>
      </c>
      <c r="B46" s="3" t="n">
        <v>9</v>
      </c>
      <c r="C46" s="3" t="n">
        <v>24</v>
      </c>
      <c r="D46" s="6">
        <f>IF(B46=0, "N/A", (C46-B46)/B46)</f>
        <v/>
      </c>
      <c r="E46" s="3" t="n">
        <v>17</v>
      </c>
      <c r="F46" s="3" t="n">
        <v>22</v>
      </c>
      <c r="G46" s="6">
        <f>IF(E46=0, "N/A", (F46-E46)/E46)</f>
        <v/>
      </c>
      <c r="H46" s="3" t="n">
        <v>124</v>
      </c>
      <c r="I46" s="3" t="n">
        <v>128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Camperas De Abrigo</t>
        </is>
      </c>
      <c r="B47" s="3" t="n">
        <v>31</v>
      </c>
      <c r="C47" s="3" t="n">
        <v>43</v>
      </c>
      <c r="D47" s="6">
        <f>IF(B47=0, "N/A", (C47-B47)/B47)</f>
        <v/>
      </c>
      <c r="E47" s="3" t="n">
        <v>39</v>
      </c>
      <c r="F47" s="3" t="n">
        <v>32</v>
      </c>
      <c r="G47" s="6">
        <f>IF(E47=0, "N/A", (F47-E47)/E47)</f>
        <v/>
      </c>
      <c r="H47" s="3" t="n">
        <v>37</v>
      </c>
      <c r="I47" s="3" t="n">
        <v>67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Chombas</t>
        </is>
      </c>
      <c r="B48" s="3" t="n">
        <v>-1</v>
      </c>
      <c r="C48" s="3" t="n">
        <v>-1</v>
      </c>
      <c r="D48" s="6">
        <f>IF(B48=0, "N/A", (C48-B48)/B48)</f>
        <v/>
      </c>
      <c r="E48" s="3" t="n">
        <v>5</v>
      </c>
      <c r="F48" s="3" t="n">
        <v>4</v>
      </c>
      <c r="G48" s="6">
        <f>IF(E48=0, "N/A", (F48-E48)/E48)</f>
        <v/>
      </c>
      <c r="H48" s="3" t="n">
        <v>3</v>
      </c>
      <c r="I48" s="3" t="n">
        <v>1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Chombas Manga Larga</t>
        </is>
      </c>
      <c r="B49" s="3" t="n"/>
      <c r="C49" s="3" t="n">
        <v>16</v>
      </c>
      <c r="D49" s="6">
        <f>IF(B49=0, "N/A", (C49-B49)/B49)</f>
        <v/>
      </c>
      <c r="E49" s="3" t="n"/>
      <c r="F49" s="3" t="n">
        <v>13</v>
      </c>
      <c r="G49" s="6">
        <f>IF(E49=0, "N/A", (F49-E49)/E49)</f>
        <v/>
      </c>
      <c r="H49" s="3" t="n">
        <v>11</v>
      </c>
      <c r="I49" s="3" t="n">
        <v>-1</v>
      </c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Jeans</t>
        </is>
      </c>
      <c r="B50" s="3" t="n">
        <v>57</v>
      </c>
      <c r="C50" s="3" t="n">
        <v>60</v>
      </c>
      <c r="D50" s="6">
        <f>IF(B50=0, "N/A", (C50-B50)/B50)</f>
        <v/>
      </c>
      <c r="E50" s="3" t="n">
        <v>94</v>
      </c>
      <c r="F50" s="3" t="n">
        <v>56</v>
      </c>
      <c r="G50" s="6">
        <f>IF(E50=0, "N/A", (F50-E50)/E50)</f>
        <v/>
      </c>
      <c r="H50" s="3" t="n">
        <v>170</v>
      </c>
      <c r="I50" s="3" t="n">
        <v>348</v>
      </c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Jogging</t>
        </is>
      </c>
      <c r="B51" s="3" t="n">
        <v>15</v>
      </c>
      <c r="C51" s="3" t="n">
        <v>18</v>
      </c>
      <c r="D51" s="6">
        <f>IF(B51=0, "N/A", (C51-B51)/B51)</f>
        <v/>
      </c>
      <c r="E51" s="3" t="n">
        <v>33</v>
      </c>
      <c r="F51" s="3" t="n">
        <v>24</v>
      </c>
      <c r="G51" s="6">
        <f>IF(E51=0, "N/A", (F51-E51)/E51)</f>
        <v/>
      </c>
      <c r="H51" s="3" t="n">
        <v>81</v>
      </c>
      <c r="I51" s="3" t="n">
        <v>98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Jogging Corto</t>
        </is>
      </c>
      <c r="B52" s="3" t="n"/>
      <c r="C52" s="3" t="n"/>
      <c r="D52" s="6">
        <f>IF(B52=0, "N/A", (C52-B52)/B52)</f>
        <v/>
      </c>
      <c r="E52" s="3" t="n"/>
      <c r="F52" s="3" t="n"/>
      <c r="G52" s="6">
        <f>IF(E52=0, "N/A", (F52-E52)/E52)</f>
        <v/>
      </c>
      <c r="H52" s="3" t="n">
        <v>1</v>
      </c>
      <c r="I52" s="3" t="n"/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Musculosas</t>
        </is>
      </c>
      <c r="B53" s="3" t="n"/>
      <c r="C53" s="3" t="n">
        <v>1</v>
      </c>
      <c r="D53" s="6">
        <f>IF(B53=0, "N/A", (C53-B53)/B53)</f>
        <v/>
      </c>
      <c r="E53" s="3" t="n"/>
      <c r="F53" s="3" t="n"/>
      <c r="G53" s="6">
        <f>IF(E53=0, "N/A", (F53-E53)/E53)</f>
        <v/>
      </c>
      <c r="H53" s="3" t="n"/>
      <c r="I53" s="3" t="n"/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Other</t>
        </is>
      </c>
      <c r="B54" s="3" t="n"/>
      <c r="C54" s="3" t="n"/>
      <c r="D54" s="6">
        <f>IF(B54=0, "N/A", (C54-B54)/B54)</f>
        <v/>
      </c>
      <c r="E54" s="3" t="n"/>
      <c r="F54" s="3" t="n"/>
      <c r="G54" s="6">
        <f>IF(E54=0, "N/A", (F54-E54)/E54)</f>
        <v/>
      </c>
      <c r="H54" s="3" t="n"/>
      <c r="I54" s="3" t="n">
        <v>1</v>
      </c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2" t="inlineStr">
        <is>
          <t>Remeras</t>
        </is>
      </c>
      <c r="B55" s="3" t="n">
        <v>108</v>
      </c>
      <c r="C55" s="3" t="n">
        <v>46</v>
      </c>
      <c r="D55" s="6">
        <f>IF(B55=0, "N/A", (C55-B55)/B55)</f>
        <v/>
      </c>
      <c r="E55" s="3" t="n">
        <v>142</v>
      </c>
      <c r="F55" s="3" t="n">
        <v>124</v>
      </c>
      <c r="G55" s="6">
        <f>IF(E55=0, "N/A", (F55-E55)/E55)</f>
        <v/>
      </c>
      <c r="H55" s="3" t="n">
        <v>298</v>
      </c>
      <c r="I55" s="3" t="n">
        <v>127</v>
      </c>
      <c r="J55" s="6">
        <f>IF(H55=0, "N/A", (I55-H55)/H55)</f>
        <v/>
      </c>
      <c r="K55" s="3">
        <f>B55+E55+H55</f>
        <v/>
      </c>
      <c r="L55" s="3">
        <f>C55+F55+I55</f>
        <v/>
      </c>
      <c r="M55" s="6">
        <f>IF(K55=0, "N/A", (L55-K55)/K55)</f>
        <v/>
      </c>
    </row>
    <row r="56">
      <c r="A56" s="2" t="inlineStr">
        <is>
          <t>Sweaters</t>
        </is>
      </c>
      <c r="B56" s="3" t="n">
        <v>15</v>
      </c>
      <c r="C56" s="3" t="n">
        <v>33</v>
      </c>
      <c r="D56" s="6">
        <f>IF(B56=0, "N/A", (C56-B56)/B56)</f>
        <v/>
      </c>
      <c r="E56" s="3" t="n">
        <v>35</v>
      </c>
      <c r="F56" s="3" t="n">
        <v>34</v>
      </c>
      <c r="G56" s="6">
        <f>IF(E56=0, "N/A", (F56-E56)/E56)</f>
        <v/>
      </c>
      <c r="H56" s="3" t="n">
        <v>30</v>
      </c>
      <c r="I56" s="3" t="n">
        <v>81</v>
      </c>
      <c r="J56" s="6">
        <f>IF(H56=0, "N/A", (I56-H56)/H56)</f>
        <v/>
      </c>
      <c r="K56" s="3">
        <f>B56+E56+H56</f>
        <v/>
      </c>
      <c r="L56" s="3">
        <f>C56+F56+I56</f>
        <v/>
      </c>
      <c r="M56" s="6">
        <f>IF(K56=0, "N/A", (L56-K56)/K56)</f>
        <v/>
      </c>
    </row>
    <row r="57">
      <c r="A57" s="2" t="inlineStr">
        <is>
          <t>Trajes De Baño</t>
        </is>
      </c>
      <c r="B57" s="3" t="n"/>
      <c r="C57" s="3" t="n"/>
      <c r="D57" s="6">
        <f>IF(B57=0, "N/A", (C57-B57)/B57)</f>
        <v/>
      </c>
      <c r="E57" s="3" t="n"/>
      <c r="F57" s="3" t="n">
        <v>1</v>
      </c>
      <c r="G57" s="6">
        <f>IF(E57=0, "N/A", (F57-E57)/E57)</f>
        <v/>
      </c>
      <c r="H57" s="3" t="n"/>
      <c r="I57" s="3" t="n"/>
      <c r="J57" s="6">
        <f>IF(H57=0, "N/A", (I57-H57)/H57)</f>
        <v/>
      </c>
      <c r="K57" s="3">
        <f>B57+E57+H57</f>
        <v/>
      </c>
      <c r="L57" s="3">
        <f>C57+F57+I57</f>
        <v/>
      </c>
      <c r="M57" s="6">
        <f>IF(K57=0, "N/A", (L57-K57)/K57)</f>
        <v/>
      </c>
    </row>
    <row r="58">
      <c r="A58" s="5" t="inlineStr">
        <is>
          <t>Totals</t>
        </is>
      </c>
      <c r="B58" s="4">
        <f>SUM($B33:$B57)</f>
        <v/>
      </c>
      <c r="C58" s="4">
        <f>SUM($C33:$C57)</f>
        <v/>
      </c>
      <c r="D58" s="7">
        <f>IF(B58=0, "N/A", (C58-B58)/B58)</f>
        <v/>
      </c>
      <c r="E58" s="4">
        <f>SUM($E33:$E57)</f>
        <v/>
      </c>
      <c r="F58" s="4">
        <f>SUM($F33:$F57)</f>
        <v/>
      </c>
      <c r="G58" s="7">
        <f>IF(E58=0, "N/A", (F58-E58)/E58)</f>
        <v/>
      </c>
      <c r="H58" s="4">
        <f>SUM($H33:$H57)</f>
        <v/>
      </c>
      <c r="I58" s="4">
        <f>SUM($I33:$I57)</f>
        <v/>
      </c>
      <c r="J58" s="7">
        <f>IF(H58=0, "N/A", (I58-H58)/H58)</f>
        <v/>
      </c>
      <c r="K58" s="4">
        <f>SUM($K33:$K57)</f>
        <v/>
      </c>
      <c r="L58" s="4">
        <f>SUM($L33:$L57)</f>
        <v/>
      </c>
      <c r="M58" s="7">
        <f>IF(K58=0, "N/A", (L58-K58)/K58)</f>
        <v/>
      </c>
    </row>
    <row r="61">
      <c r="A61" s="1" t="inlineStr">
        <is>
          <t>YoY Comparison - Branch Group 2</t>
        </is>
      </c>
    </row>
    <row r="62">
      <c r="B62" s="1" t="inlineStr">
        <is>
          <t>VIRREYES</t>
        </is>
      </c>
      <c r="C62" s="1" t="n"/>
      <c r="D62" s="1" t="n"/>
    </row>
    <row r="63">
      <c r="A63" s="1" t="inlineStr">
        <is>
          <t>Familias</t>
        </is>
      </c>
      <c r="B63" s="1" t="n">
        <v>2025</v>
      </c>
      <c r="C63" s="1" t="n">
        <v>2026</v>
      </c>
      <c r="D63" s="1" t="inlineStr">
        <is>
          <t>%</t>
        </is>
      </c>
    </row>
    <row r="64">
      <c r="A64" s="2" t="inlineStr">
        <is>
          <t>Accesorios</t>
        </is>
      </c>
      <c r="B64" s="3" t="n">
        <v>4</v>
      </c>
      <c r="C64" s="3" t="n">
        <v>1</v>
      </c>
      <c r="D64" s="6">
        <f>IF(B64=0, "N/A", (C64-B64)/B64)</f>
        <v/>
      </c>
    </row>
    <row r="65">
      <c r="A65" s="2" t="inlineStr">
        <is>
          <t>Boxer</t>
        </is>
      </c>
      <c r="B65" s="3" t="n">
        <v>3</v>
      </c>
      <c r="C65" s="3" t="n">
        <v>2</v>
      </c>
      <c r="D65" s="6">
        <f>IF(B65=0, "N/A", (C65-B65)/B65)</f>
        <v/>
      </c>
    </row>
    <row r="66">
      <c r="A66" s="2" t="inlineStr">
        <is>
          <t>Buzo Cuello Redondo</t>
        </is>
      </c>
      <c r="B66" s="3" t="n">
        <v>9</v>
      </c>
      <c r="C66" s="3" t="n">
        <v>5</v>
      </c>
      <c r="D66" s="6">
        <f>IF(B66=0, "N/A", (C66-B66)/B66)</f>
        <v/>
      </c>
    </row>
    <row r="67">
      <c r="A67" s="2" t="inlineStr">
        <is>
          <t>Buzos C Capucha</t>
        </is>
      </c>
      <c r="B67" s="3" t="n">
        <v>36</v>
      </c>
      <c r="C67" s="3" t="n">
        <v>13</v>
      </c>
      <c r="D67" s="6">
        <f>IF(B67=0, "N/A", (C67-B67)/B67)</f>
        <v/>
      </c>
    </row>
    <row r="68">
      <c r="A68" s="2" t="inlineStr">
        <is>
          <t>Buzos C Capucha Orangutan</t>
        </is>
      </c>
      <c r="B68" s="3" t="n"/>
      <c r="C68" s="3" t="n">
        <v>4</v>
      </c>
      <c r="D68" s="6">
        <f>IF(B68=0, "N/A", (C68-B68)/B68)</f>
        <v/>
      </c>
    </row>
    <row r="69">
      <c r="A69" s="2" t="inlineStr">
        <is>
          <t>Buzos C Redondo Orangutan</t>
        </is>
      </c>
      <c r="B69" s="3" t="n"/>
      <c r="C69" s="3" t="n">
        <v>1</v>
      </c>
      <c r="D69" s="6">
        <f>IF(B69=0, "N/A", (C69-B69)/B69)</f>
        <v/>
      </c>
    </row>
    <row r="70">
      <c r="A70" s="2" t="inlineStr">
        <is>
          <t>Calzado</t>
        </is>
      </c>
      <c r="B70" s="3" t="n">
        <v>1</v>
      </c>
      <c r="C70" s="3" t="n"/>
      <c r="D70" s="6">
        <f>IF(B70=0, "N/A", (C70-B70)/B70)</f>
        <v/>
      </c>
    </row>
    <row r="71">
      <c r="A71" s="2" t="inlineStr">
        <is>
          <t>Camisetas Manga Larga</t>
        </is>
      </c>
      <c r="B71" s="3" t="n">
        <v>2</v>
      </c>
      <c r="C71" s="3" t="n"/>
      <c r="D71" s="6">
        <f>IF(B71=0, "N/A", (C71-B71)/B71)</f>
        <v/>
      </c>
    </row>
    <row r="72">
      <c r="A72" s="2" t="inlineStr">
        <is>
          <t>Camisetas Manga Larga Orangutan</t>
        </is>
      </c>
      <c r="B72" s="3" t="n"/>
      <c r="C72" s="3" t="n">
        <v>4</v>
      </c>
      <c r="D72" s="6">
        <f>IF(B72=0, "N/A", (C72-B72)/B72)</f>
        <v/>
      </c>
    </row>
    <row r="73">
      <c r="A73" s="2" t="inlineStr">
        <is>
          <t>Camperas Capucha</t>
        </is>
      </c>
      <c r="B73" s="3" t="n">
        <v>9</v>
      </c>
      <c r="C73" s="3" t="n">
        <v>1</v>
      </c>
      <c r="D73" s="6">
        <f>IF(B73=0, "N/A", (C73-B73)/B73)</f>
        <v/>
      </c>
    </row>
    <row r="74">
      <c r="A74" s="2" t="inlineStr">
        <is>
          <t>Camperas De Abrigo</t>
        </is>
      </c>
      <c r="B74" s="3" t="n">
        <v>7</v>
      </c>
      <c r="C74" s="3" t="n">
        <v>2</v>
      </c>
      <c r="D74" s="6">
        <f>IF(B74=0, "N/A", (C74-B74)/B74)</f>
        <v/>
      </c>
    </row>
    <row r="75">
      <c r="A75" s="2" t="inlineStr">
        <is>
          <t>Chombas Manga Larga</t>
        </is>
      </c>
      <c r="B75" s="3" t="n"/>
      <c r="C75" s="3" t="n">
        <v>1</v>
      </c>
      <c r="D75" s="6">
        <f>IF(B75=0, "N/A", (C75-B75)/B75)</f>
        <v/>
      </c>
    </row>
    <row r="76">
      <c r="A76" s="2" t="inlineStr">
        <is>
          <t>Jeans</t>
        </is>
      </c>
      <c r="B76" s="3" t="n">
        <v>13</v>
      </c>
      <c r="C76" s="3" t="n">
        <v>8</v>
      </c>
      <c r="D76" s="6">
        <f>IF(B76=0, "N/A", (C76-B76)/B76)</f>
        <v/>
      </c>
    </row>
    <row r="77">
      <c r="A77" s="2" t="inlineStr">
        <is>
          <t>Jogging</t>
        </is>
      </c>
      <c r="B77" s="3" t="n">
        <v>5</v>
      </c>
      <c r="C77" s="3" t="n">
        <v>3</v>
      </c>
      <c r="D77" s="6">
        <f>IF(B77=0, "N/A", (C77-B77)/B77)</f>
        <v/>
      </c>
    </row>
    <row r="78">
      <c r="A78" s="2" t="inlineStr">
        <is>
          <t>Other</t>
        </is>
      </c>
      <c r="B78" s="3" t="n">
        <v>1</v>
      </c>
      <c r="C78" s="3" t="n"/>
      <c r="D78" s="6">
        <f>IF(B78=0, "N/A", (C78-B78)/B78)</f>
        <v/>
      </c>
    </row>
    <row r="79">
      <c r="A79" s="2" t="inlineStr">
        <is>
          <t>Remeras</t>
        </is>
      </c>
      <c r="B79" s="3" t="n">
        <v>41</v>
      </c>
      <c r="C79" s="3" t="n">
        <v>5</v>
      </c>
      <c r="D79" s="6">
        <f>IF(B79=0, "N/A", (C79-B79)/B79)</f>
        <v/>
      </c>
    </row>
    <row r="80">
      <c r="A80" s="2" t="inlineStr">
        <is>
          <t>Sweaters</t>
        </is>
      </c>
      <c r="B80" s="3" t="n">
        <v>2</v>
      </c>
      <c r="C80" s="3" t="n"/>
      <c r="D80" s="6">
        <f>IF(B80=0, "N/A", (C80-B80)/B80)</f>
        <v/>
      </c>
    </row>
    <row r="81">
      <c r="A81" s="5" t="inlineStr">
        <is>
          <t>Totals</t>
        </is>
      </c>
      <c r="B81" s="4">
        <f>SUM($B64:$B80)</f>
        <v/>
      </c>
      <c r="C81" s="4">
        <f>SUM($C64:$C80)</f>
        <v/>
      </c>
      <c r="D81" s="7">
        <f>IF(B81=0, "N/A", (C81-B81)/B81)</f>
        <v/>
      </c>
    </row>
  </sheetData>
  <mergeCells count="8">
    <mergeCell ref="B62:C62"/>
    <mergeCell ref="A61:D61"/>
    <mergeCell ref="A1:F1"/>
    <mergeCell ref="A30:M30"/>
    <mergeCell ref="B31:C31"/>
    <mergeCell ref="H31:I31"/>
    <mergeCell ref="K31:L31"/>
    <mergeCell ref="E31:F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Sales from June 01, 2026 to June 30,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56</v>
      </c>
      <c r="C3" s="3" t="n">
        <v>72</v>
      </c>
      <c r="D3" s="3" t="n">
        <v>154</v>
      </c>
      <c r="E3" s="3" t="n">
        <v>3</v>
      </c>
      <c r="F3" s="4">
        <f>B3+C3+D3+E3</f>
        <v/>
      </c>
    </row>
    <row r="4">
      <c r="A4" s="2" t="inlineStr">
        <is>
          <t>Boxer</t>
        </is>
      </c>
      <c r="B4" s="3" t="n">
        <v>38</v>
      </c>
      <c r="C4" s="3" t="n">
        <v>36</v>
      </c>
      <c r="D4" s="3" t="n">
        <v>136</v>
      </c>
      <c r="E4" s="3" t="n">
        <v>1</v>
      </c>
      <c r="F4" s="4">
        <f>B4+C4+D4+E4</f>
        <v/>
      </c>
    </row>
    <row r="5">
      <c r="A5" s="2" t="inlineStr">
        <is>
          <t>Buzo C Capucha Rustico</t>
        </is>
      </c>
      <c r="B5" s="3" t="n"/>
      <c r="C5" s="3" t="n"/>
      <c r="D5" s="3" t="n"/>
      <c r="E5" s="3" t="n"/>
      <c r="F5" s="4">
        <f>B5+C5+D5+E5</f>
        <v/>
      </c>
    </row>
    <row r="6">
      <c r="A6" s="2" t="inlineStr">
        <is>
          <t>Buzo Cuello Redondo</t>
        </is>
      </c>
      <c r="B6" s="3" t="n">
        <v>83</v>
      </c>
      <c r="C6" s="3" t="n">
        <v>173</v>
      </c>
      <c r="D6" s="3" t="n">
        <v>445</v>
      </c>
      <c r="E6" s="3" t="n">
        <v>2</v>
      </c>
      <c r="F6" s="4">
        <f>B6+C6+D6+E6</f>
        <v/>
      </c>
    </row>
    <row r="7">
      <c r="A7" s="2" t="inlineStr">
        <is>
          <t>Buzos C Capucha</t>
        </is>
      </c>
      <c r="B7" s="3" t="n">
        <v>55</v>
      </c>
      <c r="C7" s="3" t="n">
        <v>52</v>
      </c>
      <c r="D7" s="3" t="n">
        <v>210</v>
      </c>
      <c r="E7" s="3" t="n">
        <v>3</v>
      </c>
      <c r="F7" s="4">
        <f>B7+C7+D7+E7</f>
        <v/>
      </c>
    </row>
    <row r="8">
      <c r="A8" s="2" t="inlineStr">
        <is>
          <t>Buzos C Capucha Orangutan</t>
        </is>
      </c>
      <c r="B8" s="3" t="n">
        <v>13</v>
      </c>
      <c r="C8" s="3" t="n">
        <v>27</v>
      </c>
      <c r="D8" s="3" t="n">
        <v>106</v>
      </c>
      <c r="E8" s="3" t="n">
        <v>15</v>
      </c>
      <c r="F8" s="4">
        <f>B8+C8+D8+E8</f>
        <v/>
      </c>
    </row>
    <row r="9">
      <c r="A9" s="2" t="inlineStr">
        <is>
          <t>Buzos C Redondo Orangutan</t>
        </is>
      </c>
      <c r="B9" s="3" t="n">
        <v>32</v>
      </c>
      <c r="C9" s="3" t="n">
        <v>20</v>
      </c>
      <c r="D9" s="3" t="n">
        <v>118</v>
      </c>
      <c r="E9" s="3" t="n">
        <v>6</v>
      </c>
      <c r="F9" s="4">
        <f>B9+C9+D9+E9</f>
        <v/>
      </c>
    </row>
    <row r="10">
      <c r="A10" s="2" t="inlineStr">
        <is>
          <t>Buzos Medio Cierre</t>
        </is>
      </c>
      <c r="B10" s="3" t="n">
        <v>20</v>
      </c>
      <c r="C10" s="3" t="n">
        <v>22</v>
      </c>
      <c r="D10" s="3" t="n">
        <v>82</v>
      </c>
      <c r="E10" s="3" t="n"/>
      <c r="F10" s="4">
        <f>B10+C10+D10+E10</f>
        <v/>
      </c>
    </row>
    <row r="11">
      <c r="A11" s="2" t="inlineStr">
        <is>
          <t>Calzado</t>
        </is>
      </c>
      <c r="B11" s="3" t="n"/>
      <c r="C11" s="3" t="n"/>
      <c r="D11" s="3" t="n"/>
      <c r="E11" s="3" t="n">
        <v>1</v>
      </c>
      <c r="F11" s="4">
        <f>B11+C11+D11+E11</f>
        <v/>
      </c>
    </row>
    <row r="12">
      <c r="A12" s="2" t="inlineStr">
        <is>
          <t>Camisas</t>
        </is>
      </c>
      <c r="B12" s="3" t="n">
        <v>3</v>
      </c>
      <c r="C12" s="3" t="n">
        <v>4</v>
      </c>
      <c r="D12" s="3" t="n">
        <v>5</v>
      </c>
      <c r="E12" s="3" t="n"/>
      <c r="F12" s="4">
        <f>B12+C12+D12+E12</f>
        <v/>
      </c>
    </row>
    <row r="13">
      <c r="A13" s="2" t="inlineStr">
        <is>
          <t>Camisetas Manga Larga</t>
        </is>
      </c>
      <c r="B13" s="3" t="n">
        <v>45</v>
      </c>
      <c r="C13" s="3" t="n">
        <v>39</v>
      </c>
      <c r="D13" s="3" t="n">
        <v>106</v>
      </c>
      <c r="E13" s="3" t="n"/>
      <c r="F13" s="4">
        <f>B13+C13+D13+E13</f>
        <v/>
      </c>
    </row>
    <row r="14">
      <c r="A14" s="2" t="inlineStr">
        <is>
          <t>Camisetas Manga Larga Orangutan</t>
        </is>
      </c>
      <c r="B14" s="3" t="n">
        <v>13</v>
      </c>
      <c r="C14" s="3" t="n">
        <v>14</v>
      </c>
      <c r="D14" s="3" t="n">
        <v>211</v>
      </c>
      <c r="E14" s="3" t="n">
        <v>7</v>
      </c>
      <c r="F14" s="4">
        <f>B14+C14+D14+E14</f>
        <v/>
      </c>
    </row>
    <row r="15">
      <c r="A15" s="2" t="inlineStr">
        <is>
          <t>Campera Capucha Rustico</t>
        </is>
      </c>
      <c r="B15" s="3" t="n"/>
      <c r="C15" s="3" t="n"/>
      <c r="D15" s="3" t="n">
        <v>3</v>
      </c>
      <c r="E15" s="3" t="n"/>
      <c r="F15" s="4">
        <f>B15+C15+D15+E15</f>
        <v/>
      </c>
    </row>
    <row r="16">
      <c r="A16" s="2" t="inlineStr">
        <is>
          <t>Campera S Capucha</t>
        </is>
      </c>
      <c r="B16" s="3" t="n">
        <v>5</v>
      </c>
      <c r="C16" s="3" t="n">
        <v>10</v>
      </c>
      <c r="D16" s="3" t="n">
        <v>45</v>
      </c>
      <c r="E16" s="3" t="n">
        <v>1</v>
      </c>
      <c r="F16" s="4">
        <f>B16+C16+D16+E16</f>
        <v/>
      </c>
    </row>
    <row r="17">
      <c r="A17" s="2" t="inlineStr">
        <is>
          <t>Camperas Capucha</t>
        </is>
      </c>
      <c r="B17" s="3" t="n">
        <v>44</v>
      </c>
      <c r="C17" s="3" t="n">
        <v>46</v>
      </c>
      <c r="D17" s="3" t="n">
        <v>133</v>
      </c>
      <c r="E17" s="3" t="n">
        <v>2</v>
      </c>
      <c r="F17" s="4">
        <f>B17+C17+D17+E17</f>
        <v/>
      </c>
    </row>
    <row r="18">
      <c r="A18" s="2" t="inlineStr">
        <is>
          <t>Camperas De Abrigo</t>
        </is>
      </c>
      <c r="B18" s="3" t="n">
        <v>20</v>
      </c>
      <c r="C18" s="3" t="n">
        <v>17</v>
      </c>
      <c r="D18" s="3" t="n">
        <v>45</v>
      </c>
      <c r="E18" s="3" t="n">
        <v>5</v>
      </c>
      <c r="F18" s="4">
        <f>B18+C18+D18+E18</f>
        <v/>
      </c>
    </row>
    <row r="19">
      <c r="A19" s="2" t="inlineStr">
        <is>
          <t>Chombas</t>
        </is>
      </c>
      <c r="B19" s="3" t="n">
        <v>6</v>
      </c>
      <c r="C19" s="3" t="n">
        <v>12</v>
      </c>
      <c r="D19" s="3" t="n">
        <v>16</v>
      </c>
      <c r="E19" s="3" t="n">
        <v>1</v>
      </c>
      <c r="F19" s="4">
        <f>B19+C19+D19+E19</f>
        <v/>
      </c>
    </row>
    <row r="20">
      <c r="A20" s="2" t="inlineStr">
        <is>
          <t>Chombas Manga Larga</t>
        </is>
      </c>
      <c r="B20" s="3" t="n">
        <v>10</v>
      </c>
      <c r="C20" s="3" t="n">
        <v>8</v>
      </c>
      <c r="D20" s="3" t="n">
        <v>10</v>
      </c>
      <c r="E20" s="3" t="n"/>
      <c r="F20" s="4">
        <f>B20+C20+D20+E20</f>
        <v/>
      </c>
    </row>
    <row r="21">
      <c r="A21" s="2" t="inlineStr">
        <is>
          <t>Jeans</t>
        </is>
      </c>
      <c r="B21" s="3" t="n">
        <v>91</v>
      </c>
      <c r="C21" s="3" t="n">
        <v>101</v>
      </c>
      <c r="D21" s="3" t="n">
        <v>480</v>
      </c>
      <c r="E21" s="3" t="n">
        <v>15</v>
      </c>
      <c r="F21" s="4">
        <f>B21+C21+D21+E21</f>
        <v/>
      </c>
    </row>
    <row r="22">
      <c r="A22" s="2" t="inlineStr">
        <is>
          <t>Jogging</t>
        </is>
      </c>
      <c r="B22" s="3" t="n">
        <v>46</v>
      </c>
      <c r="C22" s="3" t="n">
        <v>38</v>
      </c>
      <c r="D22" s="3" t="n">
        <v>160</v>
      </c>
      <c r="E22" s="3" t="n">
        <v>12</v>
      </c>
      <c r="F22" s="4">
        <f>B22+C22+D22+E22</f>
        <v/>
      </c>
    </row>
    <row r="23">
      <c r="A23" s="2" t="inlineStr">
        <is>
          <t>Other</t>
        </is>
      </c>
      <c r="B23" s="3" t="n"/>
      <c r="C23" s="3" t="n"/>
      <c r="D23" s="3" t="n"/>
      <c r="E23" s="3" t="n">
        <v>2</v>
      </c>
      <c r="F23" s="4">
        <f>B23+C23+D23+E23</f>
        <v/>
      </c>
    </row>
    <row r="24">
      <c r="A24" s="2" t="inlineStr">
        <is>
          <t>Remeras</t>
        </is>
      </c>
      <c r="B24" s="3" t="n">
        <v>62</v>
      </c>
      <c r="C24" s="3" t="n">
        <v>94</v>
      </c>
      <c r="D24" s="3" t="n">
        <v>219</v>
      </c>
      <c r="E24" s="3" t="n">
        <v>17</v>
      </c>
      <c r="F24" s="4">
        <f>B24+C24+D24+E24</f>
        <v/>
      </c>
    </row>
    <row r="25">
      <c r="A25" s="2" t="inlineStr">
        <is>
          <t>Sweaters</t>
        </is>
      </c>
      <c r="B25" s="3" t="n">
        <v>39</v>
      </c>
      <c r="C25" s="3" t="n">
        <v>54</v>
      </c>
      <c r="D25" s="3" t="n">
        <v>53</v>
      </c>
      <c r="E25" s="3" t="n"/>
      <c r="F25" s="4">
        <f>B25+C25+D25+E25</f>
        <v/>
      </c>
    </row>
    <row r="26">
      <c r="A26" s="5" t="inlineStr">
        <is>
          <t>Totals</t>
        </is>
      </c>
      <c r="B26" s="4">
        <f>SUM($B$3:$B$25)</f>
        <v/>
      </c>
      <c r="C26" s="4">
        <f>SUM($C$3:$C$25)</f>
        <v/>
      </c>
      <c r="D26" s="4">
        <f>SUM($D$3:$D$25)</f>
        <v/>
      </c>
      <c r="E26" s="4">
        <f>SUM($E$3:$E$25)</f>
        <v/>
      </c>
      <c r="F26" s="4">
        <f>SUM($F$3:$F$25)</f>
        <v/>
      </c>
    </row>
    <row r="29">
      <c r="A29" s="1" t="inlineStr">
        <is>
          <t>YoY Comparison - Branch Group 1</t>
        </is>
      </c>
    </row>
    <row r="30">
      <c r="B30" s="1" t="inlineStr">
        <is>
          <t>LIBERT.R</t>
        </is>
      </c>
      <c r="C30" s="1" t="n"/>
      <c r="D30" s="1" t="n"/>
      <c r="E30" s="1" t="inlineStr">
        <is>
          <t>PASO.R</t>
        </is>
      </c>
      <c r="F30" s="1" t="n"/>
      <c r="G30" s="1" t="n"/>
      <c r="H30" s="1" t="inlineStr">
        <is>
          <t>P.OESTE</t>
        </is>
      </c>
      <c r="I30" s="1" t="n"/>
      <c r="J30" s="1" t="n"/>
      <c r="K30" s="1" t="inlineStr">
        <is>
          <t>Global</t>
        </is>
      </c>
      <c r="L30" s="1" t="n"/>
      <c r="M30" s="1" t="n"/>
    </row>
    <row r="31">
      <c r="A31" s="1" t="inlineStr">
        <is>
          <t>Familias</t>
        </is>
      </c>
      <c r="B31" s="1" t="n">
        <v>2025</v>
      </c>
      <c r="C31" s="1" t="n">
        <v>2026</v>
      </c>
      <c r="D31" s="1" t="inlineStr">
        <is>
          <t>%</t>
        </is>
      </c>
      <c r="E31" s="1" t="n">
        <v>2025</v>
      </c>
      <c r="F31" s="1" t="n">
        <v>2026</v>
      </c>
      <c r="G31" s="1" t="inlineStr">
        <is>
          <t>%</t>
        </is>
      </c>
      <c r="H31" s="1" t="n">
        <v>2025</v>
      </c>
      <c r="I31" s="1" t="n">
        <v>2026</v>
      </c>
      <c r="J31" s="1" t="inlineStr">
        <is>
          <t>%</t>
        </is>
      </c>
      <c r="K31" s="1" t="n">
        <v>2025</v>
      </c>
      <c r="L31" s="1" t="n">
        <v>2026</v>
      </c>
      <c r="M31" s="1" t="inlineStr">
        <is>
          <t>%</t>
        </is>
      </c>
    </row>
    <row r="32">
      <c r="A32" s="2" t="inlineStr">
        <is>
          <t>Accesorios</t>
        </is>
      </c>
      <c r="B32" s="3" t="n">
        <v>102</v>
      </c>
      <c r="C32" s="3" t="n">
        <v>56</v>
      </c>
      <c r="D32" s="6">
        <f>IF(B32=0, "N/A", (C32-B32)/B32)</f>
        <v/>
      </c>
      <c r="E32" s="3" t="n">
        <v>107</v>
      </c>
      <c r="F32" s="3" t="n">
        <v>72</v>
      </c>
      <c r="G32" s="6">
        <f>IF(E32=0, "N/A", (F32-E32)/E32)</f>
        <v/>
      </c>
      <c r="H32" s="3" t="n">
        <v>219</v>
      </c>
      <c r="I32" s="3" t="n">
        <v>154</v>
      </c>
      <c r="J32" s="6">
        <f>IF(H32=0, "N/A", (I32-H32)/H32)</f>
        <v/>
      </c>
      <c r="K32" s="3">
        <f>B32+E32+H32</f>
        <v/>
      </c>
      <c r="L32" s="3">
        <f>C32+F32+I32</f>
        <v/>
      </c>
      <c r="M32" s="6">
        <f>IF(K32=0, "N/A", (L32-K32)/K32)</f>
        <v/>
      </c>
    </row>
    <row r="33">
      <c r="A33" s="2" t="inlineStr">
        <is>
          <t>Bermudas</t>
        </is>
      </c>
      <c r="B33" s="3" t="n"/>
      <c r="C33" s="3" t="n"/>
      <c r="D33" s="6">
        <f>IF(B33=0, "N/A", (C33-B33)/B33)</f>
        <v/>
      </c>
      <c r="E33" s="3" t="n">
        <v>1</v>
      </c>
      <c r="F33" s="3" t="n"/>
      <c r="G33" s="6">
        <f>IF(E33=0, "N/A", (F33-E33)/E33)</f>
        <v/>
      </c>
      <c r="H33" s="3" t="n">
        <v>1</v>
      </c>
      <c r="I33" s="3" t="n"/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Boxer</t>
        </is>
      </c>
      <c r="B34" s="3" t="n">
        <v>55</v>
      </c>
      <c r="C34" s="3" t="n">
        <v>38</v>
      </c>
      <c r="D34" s="6">
        <f>IF(B34=0, "N/A", (C34-B34)/B34)</f>
        <v/>
      </c>
      <c r="E34" s="3" t="n">
        <v>35</v>
      </c>
      <c r="F34" s="3" t="n">
        <v>36</v>
      </c>
      <c r="G34" s="6">
        <f>IF(E34=0, "N/A", (F34-E34)/E34)</f>
        <v/>
      </c>
      <c r="H34" s="3" t="n">
        <v>138</v>
      </c>
      <c r="I34" s="3" t="n">
        <v>136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Buzo C Capucha Rustico</t>
        </is>
      </c>
      <c r="B35" s="3" t="n"/>
      <c r="C35" s="3" t="n"/>
      <c r="D35" s="6">
        <f>IF(B35=0, "N/A", (C35-B35)/B35)</f>
        <v/>
      </c>
      <c r="E35" s="3" t="n"/>
      <c r="F35" s="3" t="n"/>
      <c r="G35" s="6">
        <f>IF(E35=0, "N/A", (F35-E35)/E35)</f>
        <v/>
      </c>
      <c r="H35" s="3" t="n"/>
      <c r="I35" s="3" t="n"/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 Cuello Redondo</t>
        </is>
      </c>
      <c r="B36" s="3" t="n">
        <v>84</v>
      </c>
      <c r="C36" s="3" t="n">
        <v>83</v>
      </c>
      <c r="D36" s="6">
        <f>IF(B36=0, "N/A", (C36-B36)/B36)</f>
        <v/>
      </c>
      <c r="E36" s="3" t="n">
        <v>96</v>
      </c>
      <c r="F36" s="3" t="n">
        <v>173</v>
      </c>
      <c r="G36" s="6">
        <f>IF(E36=0, "N/A", (F36-E36)/E36)</f>
        <v/>
      </c>
      <c r="H36" s="3" t="n">
        <v>259</v>
      </c>
      <c r="I36" s="3" t="n">
        <v>445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Buzos C Capucha</t>
        </is>
      </c>
      <c r="B37" s="3" t="n">
        <v>90</v>
      </c>
      <c r="C37" s="3" t="n">
        <v>55</v>
      </c>
      <c r="D37" s="6">
        <f>IF(B37=0, "N/A", (C37-B37)/B37)</f>
        <v/>
      </c>
      <c r="E37" s="3" t="n">
        <v>128</v>
      </c>
      <c r="F37" s="3" t="n">
        <v>52</v>
      </c>
      <c r="G37" s="6">
        <f>IF(E37=0, "N/A", (F37-E37)/E37)</f>
        <v/>
      </c>
      <c r="H37" s="3" t="n">
        <v>252</v>
      </c>
      <c r="I37" s="3" t="n">
        <v>210</v>
      </c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Buzos C Capucha Orangutan</t>
        </is>
      </c>
      <c r="B38" s="3" t="n"/>
      <c r="C38" s="3" t="n">
        <v>13</v>
      </c>
      <c r="D38" s="6">
        <f>IF(B38=0, "N/A", (C38-B38)/B38)</f>
        <v/>
      </c>
      <c r="E38" s="3" t="n"/>
      <c r="F38" s="3" t="n">
        <v>27</v>
      </c>
      <c r="G38" s="6">
        <f>IF(E38=0, "N/A", (F38-E38)/E38)</f>
        <v/>
      </c>
      <c r="H38" s="3" t="n"/>
      <c r="I38" s="3" t="n">
        <v>106</v>
      </c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Buzos C Redondo Orangutan</t>
        </is>
      </c>
      <c r="B39" s="3" t="n"/>
      <c r="C39" s="3" t="n">
        <v>32</v>
      </c>
      <c r="D39" s="6">
        <f>IF(B39=0, "N/A", (C39-B39)/B39)</f>
        <v/>
      </c>
      <c r="E39" s="3" t="n"/>
      <c r="F39" s="3" t="n">
        <v>20</v>
      </c>
      <c r="G39" s="6">
        <f>IF(E39=0, "N/A", (F39-E39)/E39)</f>
        <v/>
      </c>
      <c r="H39" s="3" t="n"/>
      <c r="I39" s="3" t="n">
        <v>118</v>
      </c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Buzos Medio Cierre</t>
        </is>
      </c>
      <c r="B40" s="3" t="n">
        <v>13</v>
      </c>
      <c r="C40" s="3" t="n">
        <v>20</v>
      </c>
      <c r="D40" s="6">
        <f>IF(B40=0, "N/A", (C40-B40)/B40)</f>
        <v/>
      </c>
      <c r="E40" s="3" t="n">
        <v>10</v>
      </c>
      <c r="F40" s="3" t="n">
        <v>22</v>
      </c>
      <c r="G40" s="6">
        <f>IF(E40=0, "N/A", (F40-E40)/E40)</f>
        <v/>
      </c>
      <c r="H40" s="3" t="n">
        <v>225</v>
      </c>
      <c r="I40" s="3" t="n">
        <v>82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Calzado</t>
        </is>
      </c>
      <c r="B41" s="3" t="n"/>
      <c r="C41" s="3" t="n"/>
      <c r="D41" s="6">
        <f>IF(B41=0, "N/A", (C41-B41)/B41)</f>
        <v/>
      </c>
      <c r="E41" s="3" t="n"/>
      <c r="F41" s="3" t="n"/>
      <c r="G41" s="6">
        <f>IF(E41=0, "N/A", (F41-E41)/E41)</f>
        <v/>
      </c>
      <c r="H41" s="3" t="n">
        <v>2</v>
      </c>
      <c r="I41" s="3" t="n"/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Camisas</t>
        </is>
      </c>
      <c r="B42" s="3" t="n">
        <v>6</v>
      </c>
      <c r="C42" s="3" t="n">
        <v>3</v>
      </c>
      <c r="D42" s="6">
        <f>IF(B42=0, "N/A", (C42-B42)/B42)</f>
        <v/>
      </c>
      <c r="E42" s="3" t="n">
        <v>6</v>
      </c>
      <c r="F42" s="3" t="n">
        <v>4</v>
      </c>
      <c r="G42" s="6">
        <f>IF(E42=0, "N/A", (F42-E42)/E42)</f>
        <v/>
      </c>
      <c r="H42" s="3" t="n">
        <v>20</v>
      </c>
      <c r="I42" s="3" t="n">
        <v>5</v>
      </c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Camisetas Manga Larga</t>
        </is>
      </c>
      <c r="B43" s="3" t="n">
        <v>108</v>
      </c>
      <c r="C43" s="3" t="n">
        <v>45</v>
      </c>
      <c r="D43" s="6">
        <f>IF(B43=0, "N/A", (C43-B43)/B43)</f>
        <v/>
      </c>
      <c r="E43" s="3" t="n">
        <v>142</v>
      </c>
      <c r="F43" s="3" t="n">
        <v>39</v>
      </c>
      <c r="G43" s="6">
        <f>IF(E43=0, "N/A", (F43-E43)/E43)</f>
        <v/>
      </c>
      <c r="H43" s="3" t="n">
        <v>142</v>
      </c>
      <c r="I43" s="3" t="n">
        <v>106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Camisetas Manga Larga Orangutan</t>
        </is>
      </c>
      <c r="B44" s="3" t="n"/>
      <c r="C44" s="3" t="n">
        <v>13</v>
      </c>
      <c r="D44" s="6">
        <f>IF(B44=0, "N/A", (C44-B44)/B44)</f>
        <v/>
      </c>
      <c r="E44" s="3" t="n"/>
      <c r="F44" s="3" t="n">
        <v>14</v>
      </c>
      <c r="G44" s="6">
        <f>IF(E44=0, "N/A", (F44-E44)/E44)</f>
        <v/>
      </c>
      <c r="H44" s="3" t="n"/>
      <c r="I44" s="3" t="n">
        <v>211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Campera Capucha Rustico</t>
        </is>
      </c>
      <c r="B45" s="3" t="n"/>
      <c r="C45" s="3" t="n"/>
      <c r="D45" s="6">
        <f>IF(B45=0, "N/A", (C45-B45)/B45)</f>
        <v/>
      </c>
      <c r="E45" s="3" t="n"/>
      <c r="F45" s="3" t="n"/>
      <c r="G45" s="6">
        <f>IF(E45=0, "N/A", (F45-E45)/E45)</f>
        <v/>
      </c>
      <c r="H45" s="3" t="n"/>
      <c r="I45" s="3" t="n">
        <v>3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Campera S Capucha</t>
        </is>
      </c>
      <c r="B46" s="3" t="n">
        <v>41</v>
      </c>
      <c r="C46" s="3" t="n">
        <v>5</v>
      </c>
      <c r="D46" s="6">
        <f>IF(B46=0, "N/A", (C46-B46)/B46)</f>
        <v/>
      </c>
      <c r="E46" s="3" t="n">
        <v>64</v>
      </c>
      <c r="F46" s="3" t="n">
        <v>10</v>
      </c>
      <c r="G46" s="6">
        <f>IF(E46=0, "N/A", (F46-E46)/E46)</f>
        <v/>
      </c>
      <c r="H46" s="3" t="n">
        <v>102</v>
      </c>
      <c r="I46" s="3" t="n">
        <v>45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Camperas Capucha</t>
        </is>
      </c>
      <c r="B47" s="3" t="n">
        <v>13</v>
      </c>
      <c r="C47" s="3" t="n">
        <v>44</v>
      </c>
      <c r="D47" s="6">
        <f>IF(B47=0, "N/A", (C47-B47)/B47)</f>
        <v/>
      </c>
      <c r="E47" s="3" t="n">
        <v>24</v>
      </c>
      <c r="F47" s="3" t="n">
        <v>46</v>
      </c>
      <c r="G47" s="6">
        <f>IF(E47=0, "N/A", (F47-E47)/E47)</f>
        <v/>
      </c>
      <c r="H47" s="3" t="n">
        <v>199</v>
      </c>
      <c r="I47" s="3" t="n">
        <v>133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Camperas De Abrigo</t>
        </is>
      </c>
      <c r="B48" s="3" t="n">
        <v>36</v>
      </c>
      <c r="C48" s="3" t="n">
        <v>20</v>
      </c>
      <c r="D48" s="6">
        <f>IF(B48=0, "N/A", (C48-B48)/B48)</f>
        <v/>
      </c>
      <c r="E48" s="3" t="n">
        <v>23</v>
      </c>
      <c r="F48" s="3" t="n">
        <v>17</v>
      </c>
      <c r="G48" s="6">
        <f>IF(E48=0, "N/A", (F48-E48)/E48)</f>
        <v/>
      </c>
      <c r="H48" s="3" t="n">
        <v>59</v>
      </c>
      <c r="I48" s="3" t="n">
        <v>45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Chombas</t>
        </is>
      </c>
      <c r="B49" s="3" t="n">
        <v>18</v>
      </c>
      <c r="C49" s="3" t="n">
        <v>6</v>
      </c>
      <c r="D49" s="6">
        <f>IF(B49=0, "N/A", (C49-B49)/B49)</f>
        <v/>
      </c>
      <c r="E49" s="3" t="n">
        <v>12</v>
      </c>
      <c r="F49" s="3" t="n">
        <v>12</v>
      </c>
      <c r="G49" s="6">
        <f>IF(E49=0, "N/A", (F49-E49)/E49)</f>
        <v/>
      </c>
      <c r="H49" s="3" t="n">
        <v>55</v>
      </c>
      <c r="I49" s="3" t="n">
        <v>16</v>
      </c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Chombas Manga Larga</t>
        </is>
      </c>
      <c r="B50" s="3" t="n"/>
      <c r="C50" s="3" t="n">
        <v>10</v>
      </c>
      <c r="D50" s="6">
        <f>IF(B50=0, "N/A", (C50-B50)/B50)</f>
        <v/>
      </c>
      <c r="E50" s="3" t="n"/>
      <c r="F50" s="3" t="n">
        <v>8</v>
      </c>
      <c r="G50" s="6">
        <f>IF(E50=0, "N/A", (F50-E50)/E50)</f>
        <v/>
      </c>
      <c r="H50" s="3" t="n">
        <v>22</v>
      </c>
      <c r="I50" s="3" t="n">
        <v>10</v>
      </c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Jeans</t>
        </is>
      </c>
      <c r="B51" s="3" t="n">
        <v>96</v>
      </c>
      <c r="C51" s="3" t="n">
        <v>91</v>
      </c>
      <c r="D51" s="6">
        <f>IF(B51=0, "N/A", (C51-B51)/B51)</f>
        <v/>
      </c>
      <c r="E51" s="3" t="n">
        <v>92</v>
      </c>
      <c r="F51" s="3" t="n">
        <v>101</v>
      </c>
      <c r="G51" s="6">
        <f>IF(E51=0, "N/A", (F51-E51)/E51)</f>
        <v/>
      </c>
      <c r="H51" s="3" t="n">
        <v>321</v>
      </c>
      <c r="I51" s="3" t="n">
        <v>480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Jogging</t>
        </is>
      </c>
      <c r="B52" s="3" t="n">
        <v>51</v>
      </c>
      <c r="C52" s="3" t="n">
        <v>46</v>
      </c>
      <c r="D52" s="6">
        <f>IF(B52=0, "N/A", (C52-B52)/B52)</f>
        <v/>
      </c>
      <c r="E52" s="3" t="n">
        <v>40</v>
      </c>
      <c r="F52" s="3" t="n">
        <v>38</v>
      </c>
      <c r="G52" s="6">
        <f>IF(E52=0, "N/A", (F52-E52)/E52)</f>
        <v/>
      </c>
      <c r="H52" s="3" t="n">
        <v>145</v>
      </c>
      <c r="I52" s="3" t="n">
        <v>160</v>
      </c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Other</t>
        </is>
      </c>
      <c r="B53" s="3" t="n"/>
      <c r="C53" s="3" t="n"/>
      <c r="D53" s="6">
        <f>IF(B53=0, "N/A", (C53-B53)/B53)</f>
        <v/>
      </c>
      <c r="E53" s="3" t="n">
        <v>3</v>
      </c>
      <c r="F53" s="3" t="n"/>
      <c r="G53" s="6">
        <f>IF(E53=0, "N/A", (F53-E53)/E53)</f>
        <v/>
      </c>
      <c r="H53" s="3" t="n"/>
      <c r="I53" s="3" t="n"/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Remeras</t>
        </is>
      </c>
      <c r="B54" s="3" t="n">
        <v>123</v>
      </c>
      <c r="C54" s="3" t="n">
        <v>62</v>
      </c>
      <c r="D54" s="6">
        <f>IF(B54=0, "N/A", (C54-B54)/B54)</f>
        <v/>
      </c>
      <c r="E54" s="3" t="n">
        <v>184</v>
      </c>
      <c r="F54" s="3" t="n">
        <v>94</v>
      </c>
      <c r="G54" s="6">
        <f>IF(E54=0, "N/A", (F54-E54)/E54)</f>
        <v/>
      </c>
      <c r="H54" s="3" t="n">
        <v>404</v>
      </c>
      <c r="I54" s="3" t="n">
        <v>219</v>
      </c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2" t="inlineStr">
        <is>
          <t>Sweaters</t>
        </is>
      </c>
      <c r="B55" s="3" t="n">
        <v>37</v>
      </c>
      <c r="C55" s="3" t="n">
        <v>39</v>
      </c>
      <c r="D55" s="6">
        <f>IF(B55=0, "N/A", (C55-B55)/B55)</f>
        <v/>
      </c>
      <c r="E55" s="3" t="n">
        <v>79</v>
      </c>
      <c r="F55" s="3" t="n">
        <v>54</v>
      </c>
      <c r="G55" s="6">
        <f>IF(E55=0, "N/A", (F55-E55)/E55)</f>
        <v/>
      </c>
      <c r="H55" s="3" t="n">
        <v>45</v>
      </c>
      <c r="I55" s="3" t="n">
        <v>53</v>
      </c>
      <c r="J55" s="6">
        <f>IF(H55=0, "N/A", (I55-H55)/H55)</f>
        <v/>
      </c>
      <c r="K55" s="3">
        <f>B55+E55+H55</f>
        <v/>
      </c>
      <c r="L55" s="3">
        <f>C55+F55+I55</f>
        <v/>
      </c>
      <c r="M55" s="6">
        <f>IF(K55=0, "N/A", (L55-K55)/K55)</f>
        <v/>
      </c>
    </row>
    <row r="56">
      <c r="A56" s="2" t="inlineStr">
        <is>
          <t>Trajes De Baño</t>
        </is>
      </c>
      <c r="B56" s="3" t="n">
        <v>1</v>
      </c>
      <c r="C56" s="3" t="n"/>
      <c r="D56" s="6">
        <f>IF(B56=0, "N/A", (C56-B56)/B56)</f>
        <v/>
      </c>
      <c r="E56" s="3" t="n"/>
      <c r="F56" s="3" t="n"/>
      <c r="G56" s="6">
        <f>IF(E56=0, "N/A", (F56-E56)/E56)</f>
        <v/>
      </c>
      <c r="H56" s="3" t="n"/>
      <c r="I56" s="3" t="n"/>
      <c r="J56" s="6">
        <f>IF(H56=0, "N/A", (I56-H56)/H56)</f>
        <v/>
      </c>
      <c r="K56" s="3">
        <f>B56+E56+H56</f>
        <v/>
      </c>
      <c r="L56" s="3">
        <f>C56+F56+I56</f>
        <v/>
      </c>
      <c r="M56" s="6">
        <f>IF(K56=0, "N/A", (L56-K56)/K56)</f>
        <v/>
      </c>
    </row>
    <row r="57">
      <c r="A57" s="5" t="inlineStr">
        <is>
          <t>Totals</t>
        </is>
      </c>
      <c r="B57" s="4">
        <f>SUM($B32:$B56)</f>
        <v/>
      </c>
      <c r="C57" s="4">
        <f>SUM($C32:$C56)</f>
        <v/>
      </c>
      <c r="D57" s="7">
        <f>IF(B57=0, "N/A", (C57-B57)/B57)</f>
        <v/>
      </c>
      <c r="E57" s="4">
        <f>SUM($E32:$E56)</f>
        <v/>
      </c>
      <c r="F57" s="4">
        <f>SUM($F32:$F56)</f>
        <v/>
      </c>
      <c r="G57" s="7">
        <f>IF(E57=0, "N/A", (F57-E57)/E57)</f>
        <v/>
      </c>
      <c r="H57" s="4">
        <f>SUM($H32:$H56)</f>
        <v/>
      </c>
      <c r="I57" s="4">
        <f>SUM($I32:$I56)</f>
        <v/>
      </c>
      <c r="J57" s="7">
        <f>IF(H57=0, "N/A", (I57-H57)/H57)</f>
        <v/>
      </c>
      <c r="K57" s="4">
        <f>SUM($K32:$K56)</f>
        <v/>
      </c>
      <c r="L57" s="4">
        <f>SUM($L32:$L56)</f>
        <v/>
      </c>
      <c r="M57" s="7">
        <f>IF(K57=0, "N/A", (L57-K57)/K57)</f>
        <v/>
      </c>
    </row>
    <row r="60">
      <c r="A60" s="1" t="inlineStr">
        <is>
          <t>YoY Comparison - Branch Group 2</t>
        </is>
      </c>
    </row>
    <row r="61">
      <c r="B61" s="1" t="inlineStr">
        <is>
          <t>VIRREYES</t>
        </is>
      </c>
      <c r="C61" s="1" t="n"/>
      <c r="D61" s="1" t="n"/>
    </row>
    <row r="62">
      <c r="A62" s="1" t="inlineStr">
        <is>
          <t>Familias</t>
        </is>
      </c>
      <c r="B62" s="1" t="n">
        <v>2025</v>
      </c>
      <c r="C62" s="1" t="n">
        <v>2026</v>
      </c>
      <c r="D62" s="1" t="inlineStr">
        <is>
          <t>%</t>
        </is>
      </c>
    </row>
    <row r="63">
      <c r="A63" s="2" t="inlineStr">
        <is>
          <t>Accesorios</t>
        </is>
      </c>
      <c r="B63" s="3" t="n">
        <v>7</v>
      </c>
      <c r="C63" s="3" t="n">
        <v>3</v>
      </c>
      <c r="D63" s="6">
        <f>IF(B63=0, "N/A", (C63-B63)/B63)</f>
        <v/>
      </c>
    </row>
    <row r="64">
      <c r="A64" s="2" t="inlineStr">
        <is>
          <t>Boxer</t>
        </is>
      </c>
      <c r="B64" s="3" t="n">
        <v>8</v>
      </c>
      <c r="C64" s="3" t="n">
        <v>1</v>
      </c>
      <c r="D64" s="6">
        <f>IF(B64=0, "N/A", (C64-B64)/B64)</f>
        <v/>
      </c>
    </row>
    <row r="65">
      <c r="A65" s="2" t="inlineStr">
        <is>
          <t>Buzo Cuello Redondo</t>
        </is>
      </c>
      <c r="B65" s="3" t="n">
        <v>32</v>
      </c>
      <c r="C65" s="3" t="n">
        <v>2</v>
      </c>
      <c r="D65" s="6">
        <f>IF(B65=0, "N/A", (C65-B65)/B65)</f>
        <v/>
      </c>
    </row>
    <row r="66">
      <c r="A66" s="2" t="inlineStr">
        <is>
          <t>Buzos C Capucha</t>
        </is>
      </c>
      <c r="B66" s="3" t="n">
        <v>20</v>
      </c>
      <c r="C66" s="3" t="n">
        <v>3</v>
      </c>
      <c r="D66" s="6">
        <f>IF(B66=0, "N/A", (C66-B66)/B66)</f>
        <v/>
      </c>
    </row>
    <row r="67">
      <c r="A67" s="2" t="inlineStr">
        <is>
          <t>Buzos C Capucha Orangutan</t>
        </is>
      </c>
      <c r="B67" s="3" t="n"/>
      <c r="C67" s="3" t="n">
        <v>15</v>
      </c>
      <c r="D67" s="6">
        <f>IF(B67=0, "N/A", (C67-B67)/B67)</f>
        <v/>
      </c>
    </row>
    <row r="68">
      <c r="A68" s="2" t="inlineStr">
        <is>
          <t>Buzos C Redondo Orangutan</t>
        </is>
      </c>
      <c r="B68" s="3" t="n"/>
      <c r="C68" s="3" t="n">
        <v>6</v>
      </c>
      <c r="D68" s="6">
        <f>IF(B68=0, "N/A", (C68-B68)/B68)</f>
        <v/>
      </c>
    </row>
    <row r="69">
      <c r="A69" s="2" t="inlineStr">
        <is>
          <t>Buzos Medio Cierre</t>
        </is>
      </c>
      <c r="B69" s="3" t="n">
        <v>4</v>
      </c>
      <c r="C69" s="3" t="n"/>
      <c r="D69" s="6">
        <f>IF(B69=0, "N/A", (C69-B69)/B69)</f>
        <v/>
      </c>
    </row>
    <row r="70">
      <c r="A70" s="2" t="inlineStr">
        <is>
          <t>Calzado</t>
        </is>
      </c>
      <c r="B70" s="3" t="n">
        <v>1</v>
      </c>
      <c r="C70" s="3" t="n">
        <v>1</v>
      </c>
      <c r="D70" s="6">
        <f>IF(B70=0, "N/A", (C70-B70)/B70)</f>
        <v/>
      </c>
    </row>
    <row r="71">
      <c r="A71" s="2" t="inlineStr">
        <is>
          <t>Camisetas Manga Larga</t>
        </is>
      </c>
      <c r="B71" s="3" t="n">
        <v>26</v>
      </c>
      <c r="C71" s="3" t="n"/>
      <c r="D71" s="6">
        <f>IF(B71=0, "N/A", (C71-B71)/B71)</f>
        <v/>
      </c>
    </row>
    <row r="72">
      <c r="A72" s="2" t="inlineStr">
        <is>
          <t>Camisetas Manga Larga Orangutan</t>
        </is>
      </c>
      <c r="B72" s="3" t="n"/>
      <c r="C72" s="3" t="n">
        <v>7</v>
      </c>
      <c r="D72" s="6">
        <f>IF(B72=0, "N/A", (C72-B72)/B72)</f>
        <v/>
      </c>
    </row>
    <row r="73">
      <c r="A73" s="2" t="inlineStr">
        <is>
          <t>Campera S Capucha</t>
        </is>
      </c>
      <c r="B73" s="3" t="n">
        <v>1</v>
      </c>
      <c r="C73" s="3" t="n">
        <v>1</v>
      </c>
      <c r="D73" s="6">
        <f>IF(B73=0, "N/A", (C73-B73)/B73)</f>
        <v/>
      </c>
    </row>
    <row r="74">
      <c r="A74" s="2" t="inlineStr">
        <is>
          <t>Camperas Capucha</t>
        </is>
      </c>
      <c r="B74" s="3" t="n">
        <v>6</v>
      </c>
      <c r="C74" s="3" t="n">
        <v>2</v>
      </c>
      <c r="D74" s="6">
        <f>IF(B74=0, "N/A", (C74-B74)/B74)</f>
        <v/>
      </c>
    </row>
    <row r="75">
      <c r="A75" s="2" t="inlineStr">
        <is>
          <t>Camperas De Abrigo</t>
        </is>
      </c>
      <c r="B75" s="3" t="n">
        <v>13</v>
      </c>
      <c r="C75" s="3" t="n">
        <v>5</v>
      </c>
      <c r="D75" s="6">
        <f>IF(B75=0, "N/A", (C75-B75)/B75)</f>
        <v/>
      </c>
    </row>
    <row r="76">
      <c r="A76" s="2" t="inlineStr">
        <is>
          <t>Chombas</t>
        </is>
      </c>
      <c r="B76" s="3" t="n"/>
      <c r="C76" s="3" t="n">
        <v>1</v>
      </c>
      <c r="D76" s="6">
        <f>IF(B76=0, "N/A", (C76-B76)/B76)</f>
        <v/>
      </c>
    </row>
    <row r="77">
      <c r="A77" s="2" t="inlineStr">
        <is>
          <t>Jeans</t>
        </is>
      </c>
      <c r="B77" s="3" t="n">
        <v>12</v>
      </c>
      <c r="C77" s="3" t="n">
        <v>15</v>
      </c>
      <c r="D77" s="6">
        <f>IF(B77=0, "N/A", (C77-B77)/B77)</f>
        <v/>
      </c>
    </row>
    <row r="78">
      <c r="A78" s="2" t="inlineStr">
        <is>
          <t>Jogging</t>
        </is>
      </c>
      <c r="B78" s="3" t="n">
        <v>16</v>
      </c>
      <c r="C78" s="3" t="n">
        <v>12</v>
      </c>
      <c r="D78" s="6">
        <f>IF(B78=0, "N/A", (C78-B78)/B78)</f>
        <v/>
      </c>
    </row>
    <row r="79">
      <c r="A79" s="2" t="inlineStr">
        <is>
          <t>Other</t>
        </is>
      </c>
      <c r="B79" s="3" t="n">
        <v>4</v>
      </c>
      <c r="C79" s="3" t="n">
        <v>2</v>
      </c>
      <c r="D79" s="6">
        <f>IF(B79=0, "N/A", (C79-B79)/B79)</f>
        <v/>
      </c>
    </row>
    <row r="80">
      <c r="A80" s="2" t="inlineStr">
        <is>
          <t>Remeras</t>
        </is>
      </c>
      <c r="B80" s="3" t="n">
        <v>19</v>
      </c>
      <c r="C80" s="3" t="n">
        <v>17</v>
      </c>
      <c r="D80" s="6">
        <f>IF(B80=0, "N/A", (C80-B80)/B80)</f>
        <v/>
      </c>
    </row>
    <row r="81">
      <c r="A81" s="2" t="inlineStr">
        <is>
          <t>Sweaters</t>
        </is>
      </c>
      <c r="B81" s="3" t="n">
        <v>5</v>
      </c>
      <c r="C81" s="3" t="n"/>
      <c r="D81" s="6">
        <f>IF(B81=0, "N/A", (C81-B81)/B81)</f>
        <v/>
      </c>
    </row>
    <row r="82">
      <c r="A82" s="5" t="inlineStr">
        <is>
          <t>Totals</t>
        </is>
      </c>
      <c r="B82" s="4">
        <f>SUM($B63:$B81)</f>
        <v/>
      </c>
      <c r="C82" s="4">
        <f>SUM($C63:$C81)</f>
        <v/>
      </c>
      <c r="D82" s="7">
        <f>IF(B82=0, "N/A", (C82-B82)/B82)</f>
        <v/>
      </c>
    </row>
  </sheetData>
  <mergeCells count="8">
    <mergeCell ref="B30:C30"/>
    <mergeCell ref="K30:L30"/>
    <mergeCell ref="E30:F30"/>
    <mergeCell ref="A1:F1"/>
    <mergeCell ref="B61:C61"/>
    <mergeCell ref="A29:M29"/>
    <mergeCell ref="A60:D60"/>
    <mergeCell ref="H30:I3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Sales from July 01, 2026 to July 31,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22</v>
      </c>
      <c r="C3" s="3" t="n">
        <v>28</v>
      </c>
      <c r="D3" s="3" t="n">
        <v>71</v>
      </c>
      <c r="E3" s="3" t="n">
        <v>1</v>
      </c>
      <c r="F3" s="4">
        <f>B3+C3+D3+E3</f>
        <v/>
      </c>
    </row>
    <row r="4">
      <c r="A4" s="2" t="inlineStr">
        <is>
          <t>Boxer</t>
        </is>
      </c>
      <c r="B4" s="3" t="n">
        <v>18</v>
      </c>
      <c r="C4" s="3" t="n">
        <v>15</v>
      </c>
      <c r="D4" s="3" t="n">
        <v>41</v>
      </c>
      <c r="E4" s="3" t="n">
        <v>6</v>
      </c>
      <c r="F4" s="4">
        <f>B4+C4+D4+E4</f>
        <v/>
      </c>
    </row>
    <row r="5">
      <c r="A5" s="2" t="inlineStr">
        <is>
          <t>Buzo Cuello Redondo</t>
        </is>
      </c>
      <c r="B5" s="3" t="n">
        <v>32</v>
      </c>
      <c r="C5" s="3" t="n">
        <v>56</v>
      </c>
      <c r="D5" s="3" t="n">
        <v>148</v>
      </c>
      <c r="E5" s="3" t="n">
        <v>1</v>
      </c>
      <c r="F5" s="4">
        <f>B5+C5+D5+E5</f>
        <v/>
      </c>
    </row>
    <row r="6">
      <c r="A6" s="2" t="inlineStr">
        <is>
          <t>Buzos</t>
        </is>
      </c>
      <c r="B6" s="3" t="n"/>
      <c r="C6" s="3" t="n"/>
      <c r="D6" s="3" t="n">
        <v>-1</v>
      </c>
      <c r="E6" s="3" t="n"/>
      <c r="F6" s="4">
        <f>B6+C6+D6+E6</f>
        <v/>
      </c>
    </row>
    <row r="7">
      <c r="A7" s="2" t="inlineStr">
        <is>
          <t>Buzos C Capucha</t>
        </is>
      </c>
      <c r="B7" s="3" t="n">
        <v>33</v>
      </c>
      <c r="C7" s="3" t="n">
        <v>40</v>
      </c>
      <c r="D7" s="3" t="n">
        <v>127</v>
      </c>
      <c r="E7" s="3" t="n">
        <v>3</v>
      </c>
      <c r="F7" s="4">
        <f>B7+C7+D7+E7</f>
        <v/>
      </c>
    </row>
    <row r="8">
      <c r="A8" s="2" t="inlineStr">
        <is>
          <t>Buzos C Capucha Orangutan</t>
        </is>
      </c>
      <c r="B8" s="3" t="n">
        <v>16</v>
      </c>
      <c r="C8" s="3" t="n">
        <v>12</v>
      </c>
      <c r="D8" s="3" t="n">
        <v>48</v>
      </c>
      <c r="E8" s="3" t="n">
        <v>4</v>
      </c>
      <c r="F8" s="4">
        <f>B8+C8+D8+E8</f>
        <v/>
      </c>
    </row>
    <row r="9">
      <c r="A9" s="2" t="inlineStr">
        <is>
          <t>Buzos C Redondo Orangutan</t>
        </is>
      </c>
      <c r="B9" s="3" t="n">
        <v>4</v>
      </c>
      <c r="C9" s="3" t="n">
        <v>2</v>
      </c>
      <c r="D9" s="3" t="n">
        <v>17</v>
      </c>
      <c r="E9" s="3" t="n">
        <v>6</v>
      </c>
      <c r="F9" s="4">
        <f>B9+C9+D9+E9</f>
        <v/>
      </c>
    </row>
    <row r="10">
      <c r="A10" s="2" t="inlineStr">
        <is>
          <t>Buzos Medio Cierre</t>
        </is>
      </c>
      <c r="B10" s="3" t="n">
        <v>3</v>
      </c>
      <c r="C10" s="3" t="n">
        <v>2</v>
      </c>
      <c r="D10" s="3" t="n">
        <v>2</v>
      </c>
      <c r="E10" s="3" t="n"/>
      <c r="F10" s="4">
        <f>B10+C10+D10+E10</f>
        <v/>
      </c>
    </row>
    <row r="11">
      <c r="A11" s="2" t="inlineStr">
        <is>
          <t>Camisas</t>
        </is>
      </c>
      <c r="B11" s="3" t="n">
        <v>3</v>
      </c>
      <c r="C11" s="3" t="n">
        <v>3</v>
      </c>
      <c r="D11" s="3" t="n">
        <v>1</v>
      </c>
      <c r="E11" s="3" t="n"/>
      <c r="F11" s="4">
        <f>B11+C11+D11+E11</f>
        <v/>
      </c>
    </row>
    <row r="12">
      <c r="A12" s="2" t="inlineStr">
        <is>
          <t>Camisetas Manga Larga</t>
        </is>
      </c>
      <c r="B12" s="3" t="n">
        <v>10</v>
      </c>
      <c r="C12" s="3" t="n">
        <v>13</v>
      </c>
      <c r="D12" s="3" t="n">
        <v>7</v>
      </c>
      <c r="E12" s="3" t="n"/>
      <c r="F12" s="4">
        <f>B12+C12+D12+E12</f>
        <v/>
      </c>
    </row>
    <row r="13">
      <c r="A13" s="2" t="inlineStr">
        <is>
          <t>Camisetas Manga Larga Orangutan</t>
        </is>
      </c>
      <c r="B13" s="3" t="n">
        <v>5</v>
      </c>
      <c r="C13" s="3" t="n">
        <v>4</v>
      </c>
      <c r="D13" s="3" t="n">
        <v>28</v>
      </c>
      <c r="E13" s="3" t="n">
        <v>-2</v>
      </c>
      <c r="F13" s="4">
        <f>B13+C13+D13+E13</f>
        <v/>
      </c>
    </row>
    <row r="14">
      <c r="A14" s="2" t="inlineStr">
        <is>
          <t>Campera S Capucha</t>
        </is>
      </c>
      <c r="B14" s="3" t="n">
        <v>1</v>
      </c>
      <c r="C14" s="3" t="n">
        <v>2</v>
      </c>
      <c r="D14" s="3" t="n">
        <v>8</v>
      </c>
      <c r="E14" s="3" t="n"/>
      <c r="F14" s="4">
        <f>B14+C14+D14+E14</f>
        <v/>
      </c>
    </row>
    <row r="15">
      <c r="A15" s="2" t="inlineStr">
        <is>
          <t>Camperas Capucha</t>
        </is>
      </c>
      <c r="B15" s="3" t="n">
        <v>21</v>
      </c>
      <c r="C15" s="3" t="n">
        <v>20</v>
      </c>
      <c r="D15" s="3" t="n">
        <v>28</v>
      </c>
      <c r="E15" s="3" t="n">
        <v>3</v>
      </c>
      <c r="F15" s="4">
        <f>B15+C15+D15+E15</f>
        <v/>
      </c>
    </row>
    <row r="16">
      <c r="A16" s="2" t="inlineStr">
        <is>
          <t>Camperas De Abrigo</t>
        </is>
      </c>
      <c r="B16" s="3" t="n">
        <v>6</v>
      </c>
      <c r="C16" s="3" t="n">
        <v>13</v>
      </c>
      <c r="D16" s="3" t="n">
        <v>22</v>
      </c>
      <c r="E16" s="3" t="n">
        <v>3</v>
      </c>
      <c r="F16" s="4">
        <f>B16+C16+D16+E16</f>
        <v/>
      </c>
    </row>
    <row r="17">
      <c r="A17" s="2" t="inlineStr">
        <is>
          <t>Chombas</t>
        </is>
      </c>
      <c r="B17" s="3" t="n">
        <v>8</v>
      </c>
      <c r="C17" s="3" t="n">
        <v>6</v>
      </c>
      <c r="D17" s="3" t="n">
        <v>1</v>
      </c>
      <c r="E17" s="3" t="n"/>
      <c r="F17" s="4">
        <f>B17+C17+D17+E17</f>
        <v/>
      </c>
    </row>
    <row r="18">
      <c r="A18" s="2" t="inlineStr">
        <is>
          <t>Chombas Manga Larga</t>
        </is>
      </c>
      <c r="B18" s="3" t="n">
        <v>1</v>
      </c>
      <c r="C18" s="3" t="n">
        <v>8</v>
      </c>
      <c r="D18" s="3" t="n">
        <v>-3</v>
      </c>
      <c r="E18" s="3" t="n"/>
      <c r="F18" s="4">
        <f>B18+C18+D18+E18</f>
        <v/>
      </c>
    </row>
    <row r="19">
      <c r="A19" s="2" t="inlineStr">
        <is>
          <t>Jeans</t>
        </is>
      </c>
      <c r="B19" s="3" t="n">
        <v>39</v>
      </c>
      <c r="C19" s="3" t="n">
        <v>49</v>
      </c>
      <c r="D19" s="3" t="n">
        <v>273</v>
      </c>
      <c r="E19" s="3" t="n">
        <v>20</v>
      </c>
      <c r="F19" s="4">
        <f>B19+C19+D19+E19</f>
        <v/>
      </c>
    </row>
    <row r="20">
      <c r="A20" s="2" t="inlineStr">
        <is>
          <t>Jogging</t>
        </is>
      </c>
      <c r="B20" s="3" t="n">
        <v>4</v>
      </c>
      <c r="C20" s="3" t="n">
        <v>9</v>
      </c>
      <c r="D20" s="3" t="n">
        <v>43</v>
      </c>
      <c r="E20" s="3" t="n">
        <v>6</v>
      </c>
      <c r="F20" s="4">
        <f>B20+C20+D20+E20</f>
        <v/>
      </c>
    </row>
    <row r="21">
      <c r="A21" s="2" t="inlineStr">
        <is>
          <t>Other</t>
        </is>
      </c>
      <c r="B21" s="3" t="n"/>
      <c r="C21" s="3" t="n"/>
      <c r="D21" s="3" t="n">
        <v>1</v>
      </c>
      <c r="E21" s="3" t="n"/>
      <c r="F21" s="4">
        <f>B21+C21+D21+E21</f>
        <v/>
      </c>
    </row>
    <row r="22">
      <c r="A22" s="2" t="inlineStr">
        <is>
          <t>Remeras</t>
        </is>
      </c>
      <c r="B22" s="3" t="n">
        <v>35</v>
      </c>
      <c r="C22" s="3" t="n">
        <v>53</v>
      </c>
      <c r="D22" s="3" t="n">
        <v>234</v>
      </c>
      <c r="E22" s="3" t="n">
        <v>15</v>
      </c>
      <c r="F22" s="4">
        <f>B22+C22+D22+E22</f>
        <v/>
      </c>
    </row>
    <row r="23">
      <c r="A23" s="2" t="inlineStr">
        <is>
          <t>Sweaters</t>
        </is>
      </c>
      <c r="B23" s="3" t="n">
        <v>8</v>
      </c>
      <c r="C23" s="3" t="n">
        <v>7</v>
      </c>
      <c r="D23" s="3" t="n">
        <v>4</v>
      </c>
      <c r="E23" s="3" t="n"/>
      <c r="F23" s="4">
        <f>B23+C23+D23+E23</f>
        <v/>
      </c>
    </row>
    <row r="24">
      <c r="A24" s="5" t="inlineStr">
        <is>
          <t>Totals</t>
        </is>
      </c>
      <c r="B24" s="4">
        <f>SUM($B$3:$B$23)</f>
        <v/>
      </c>
      <c r="C24" s="4">
        <f>SUM($C$3:$C$23)</f>
        <v/>
      </c>
      <c r="D24" s="4">
        <f>SUM($D$3:$D$23)</f>
        <v/>
      </c>
      <c r="E24" s="4">
        <f>SUM($E$3:$E$23)</f>
        <v/>
      </c>
      <c r="F24" s="4">
        <f>SUM($F$3:$F$23)</f>
        <v/>
      </c>
    </row>
    <row r="27">
      <c r="A27" s="1" t="inlineStr">
        <is>
          <t>YoY Comparison - Branch Group 1</t>
        </is>
      </c>
    </row>
    <row r="28">
      <c r="B28" s="1" t="inlineStr">
        <is>
          <t>LIBERT.R</t>
        </is>
      </c>
      <c r="C28" s="1" t="n"/>
      <c r="D28" s="1" t="n"/>
      <c r="E28" s="1" t="inlineStr">
        <is>
          <t>PASO.R</t>
        </is>
      </c>
      <c r="F28" s="1" t="n"/>
      <c r="G28" s="1" t="n"/>
      <c r="H28" s="1" t="inlineStr">
        <is>
          <t>P.OESTE</t>
        </is>
      </c>
      <c r="I28" s="1" t="n"/>
      <c r="J28" s="1" t="n"/>
      <c r="K28" s="1" t="inlineStr">
        <is>
          <t>Global</t>
        </is>
      </c>
      <c r="L28" s="1" t="n"/>
      <c r="M28" s="1" t="n"/>
    </row>
    <row r="29">
      <c r="A29" s="1" t="inlineStr">
        <is>
          <t>Familias</t>
        </is>
      </c>
      <c r="B29" s="1" t="n">
        <v>2025</v>
      </c>
      <c r="C29" s="1" t="n">
        <v>2026</v>
      </c>
      <c r="D29" s="1" t="inlineStr">
        <is>
          <t>%</t>
        </is>
      </c>
      <c r="E29" s="1" t="n">
        <v>2025</v>
      </c>
      <c r="F29" s="1" t="n">
        <v>2026</v>
      </c>
      <c r="G29" s="1" t="inlineStr">
        <is>
          <t>%</t>
        </is>
      </c>
      <c r="H29" s="1" t="n">
        <v>2025</v>
      </c>
      <c r="I29" s="1" t="n">
        <v>2026</v>
      </c>
      <c r="J29" s="1" t="inlineStr">
        <is>
          <t>%</t>
        </is>
      </c>
      <c r="K29" s="1" t="n">
        <v>2025</v>
      </c>
      <c r="L29" s="1" t="n">
        <v>2026</v>
      </c>
      <c r="M29" s="1" t="inlineStr">
        <is>
          <t>%</t>
        </is>
      </c>
    </row>
    <row r="30">
      <c r="A30" s="2" t="inlineStr">
        <is>
          <t>Accesorios</t>
        </is>
      </c>
      <c r="B30" s="3" t="n">
        <v>18</v>
      </c>
      <c r="C30" s="3" t="n">
        <v>22</v>
      </c>
      <c r="D30" s="6">
        <f>IF(B30=0, "N/A", (C30-B30)/B30)</f>
        <v/>
      </c>
      <c r="E30" s="3" t="n">
        <v>23</v>
      </c>
      <c r="F30" s="3" t="n">
        <v>28</v>
      </c>
      <c r="G30" s="6">
        <f>IF(E30=0, "N/A", (F30-E30)/E30)</f>
        <v/>
      </c>
      <c r="H30" s="3" t="n">
        <v>87</v>
      </c>
      <c r="I30" s="3" t="n">
        <v>71</v>
      </c>
      <c r="J30" s="6">
        <f>IF(H30=0, "N/A", (I30-H30)/H30)</f>
        <v/>
      </c>
      <c r="K30" s="3">
        <f>B30+E30+H30</f>
        <v/>
      </c>
      <c r="L30" s="3">
        <f>C30+F30+I30</f>
        <v/>
      </c>
      <c r="M30" s="6">
        <f>IF(K30=0, "N/A", (L30-K30)/K30)</f>
        <v/>
      </c>
    </row>
    <row r="31">
      <c r="A31" s="2" t="inlineStr">
        <is>
          <t>Bermudas</t>
        </is>
      </c>
      <c r="B31" s="3" t="n"/>
      <c r="C31" s="3" t="n"/>
      <c r="D31" s="6">
        <f>IF(B31=0, "N/A", (C31-B31)/B31)</f>
        <v/>
      </c>
      <c r="E31" s="3" t="n">
        <v>3</v>
      </c>
      <c r="F31" s="3" t="n"/>
      <c r="G31" s="6">
        <f>IF(E31=0, "N/A", (F31-E31)/E31)</f>
        <v/>
      </c>
      <c r="H31" s="3" t="n"/>
      <c r="I31" s="3" t="n"/>
      <c r="J31" s="6">
        <f>IF(H31=0, "N/A", (I31-H31)/H31)</f>
        <v/>
      </c>
      <c r="K31" s="3">
        <f>B31+E31+H31</f>
        <v/>
      </c>
      <c r="L31" s="3">
        <f>C31+F31+I31</f>
        <v/>
      </c>
      <c r="M31" s="6">
        <f>IF(K31=0, "N/A", (L31-K31)/K31)</f>
        <v/>
      </c>
    </row>
    <row r="32">
      <c r="A32" s="2" t="inlineStr">
        <is>
          <t>Boxer</t>
        </is>
      </c>
      <c r="B32" s="3" t="n">
        <v>13</v>
      </c>
      <c r="C32" s="3" t="n">
        <v>18</v>
      </c>
      <c r="D32" s="6">
        <f>IF(B32=0, "N/A", (C32-B32)/B32)</f>
        <v/>
      </c>
      <c r="E32" s="3" t="n">
        <v>15</v>
      </c>
      <c r="F32" s="3" t="n">
        <v>15</v>
      </c>
      <c r="G32" s="6">
        <f>IF(E32=0, "N/A", (F32-E32)/E32)</f>
        <v/>
      </c>
      <c r="H32" s="3" t="n">
        <v>73</v>
      </c>
      <c r="I32" s="3" t="n">
        <v>41</v>
      </c>
      <c r="J32" s="6">
        <f>IF(H32=0, "N/A", (I32-H32)/H32)</f>
        <v/>
      </c>
      <c r="K32" s="3">
        <f>B32+E32+H32</f>
        <v/>
      </c>
      <c r="L32" s="3">
        <f>C32+F32+I32</f>
        <v/>
      </c>
      <c r="M32" s="6">
        <f>IF(K32=0, "N/A", (L32-K32)/K32)</f>
        <v/>
      </c>
    </row>
    <row r="33">
      <c r="A33" s="2" t="inlineStr">
        <is>
          <t>Buzo Cuello Redondo</t>
        </is>
      </c>
      <c r="B33" s="3" t="n">
        <v>73</v>
      </c>
      <c r="C33" s="3" t="n">
        <v>32</v>
      </c>
      <c r="D33" s="6">
        <f>IF(B33=0, "N/A", (C33-B33)/B33)</f>
        <v/>
      </c>
      <c r="E33" s="3" t="n">
        <v>47</v>
      </c>
      <c r="F33" s="3" t="n">
        <v>56</v>
      </c>
      <c r="G33" s="6">
        <f>IF(E33=0, "N/A", (F33-E33)/E33)</f>
        <v/>
      </c>
      <c r="H33" s="3" t="n">
        <v>170</v>
      </c>
      <c r="I33" s="3" t="n">
        <v>148</v>
      </c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Buzos</t>
        </is>
      </c>
      <c r="B34" s="3" t="n"/>
      <c r="C34" s="3" t="n"/>
      <c r="D34" s="6">
        <f>IF(B34=0, "N/A", (C34-B34)/B34)</f>
        <v/>
      </c>
      <c r="E34" s="3" t="n"/>
      <c r="F34" s="3" t="n"/>
      <c r="G34" s="6">
        <f>IF(E34=0, "N/A", (F34-E34)/E34)</f>
        <v/>
      </c>
      <c r="H34" s="3" t="n"/>
      <c r="I34" s="3" t="n">
        <v>-1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Buzos C Capucha</t>
        </is>
      </c>
      <c r="B35" s="3" t="n">
        <v>37</v>
      </c>
      <c r="C35" s="3" t="n">
        <v>33</v>
      </c>
      <c r="D35" s="6">
        <f>IF(B35=0, "N/A", (C35-B35)/B35)</f>
        <v/>
      </c>
      <c r="E35" s="3" t="n">
        <v>40</v>
      </c>
      <c r="F35" s="3" t="n">
        <v>40</v>
      </c>
      <c r="G35" s="6">
        <f>IF(E35=0, "N/A", (F35-E35)/E35)</f>
        <v/>
      </c>
      <c r="H35" s="3" t="n">
        <v>169</v>
      </c>
      <c r="I35" s="3" t="n">
        <v>127</v>
      </c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Buzos C Capucha Orangutan</t>
        </is>
      </c>
      <c r="B36" s="3" t="n"/>
      <c r="C36" s="3" t="n">
        <v>16</v>
      </c>
      <c r="D36" s="6">
        <f>IF(B36=0, "N/A", (C36-B36)/B36)</f>
        <v/>
      </c>
      <c r="E36" s="3" t="n"/>
      <c r="F36" s="3" t="n">
        <v>12</v>
      </c>
      <c r="G36" s="6">
        <f>IF(E36=0, "N/A", (F36-E36)/E36)</f>
        <v/>
      </c>
      <c r="H36" s="3" t="n"/>
      <c r="I36" s="3" t="n">
        <v>48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Buzos C Redondo Orangutan</t>
        </is>
      </c>
      <c r="B37" s="3" t="n"/>
      <c r="C37" s="3" t="n">
        <v>4</v>
      </c>
      <c r="D37" s="6">
        <f>IF(B37=0, "N/A", (C37-B37)/B37)</f>
        <v/>
      </c>
      <c r="E37" s="3" t="n"/>
      <c r="F37" s="3" t="n">
        <v>2</v>
      </c>
      <c r="G37" s="6">
        <f>IF(E37=0, "N/A", (F37-E37)/E37)</f>
        <v/>
      </c>
      <c r="H37" s="3" t="n"/>
      <c r="I37" s="3" t="n">
        <v>17</v>
      </c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Buzos Medio Cierre</t>
        </is>
      </c>
      <c r="B38" s="3" t="n">
        <v>8</v>
      </c>
      <c r="C38" s="3" t="n">
        <v>3</v>
      </c>
      <c r="D38" s="6">
        <f>IF(B38=0, "N/A", (C38-B38)/B38)</f>
        <v/>
      </c>
      <c r="E38" s="3" t="n">
        <v>2</v>
      </c>
      <c r="F38" s="3" t="n">
        <v>2</v>
      </c>
      <c r="G38" s="6">
        <f>IF(E38=0, "N/A", (F38-E38)/E38)</f>
        <v/>
      </c>
      <c r="H38" s="3" t="n">
        <v>15</v>
      </c>
      <c r="I38" s="3" t="n">
        <v>2</v>
      </c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Calzado</t>
        </is>
      </c>
      <c r="B39" s="3" t="n"/>
      <c r="C39" s="3" t="n"/>
      <c r="D39" s="6">
        <f>IF(B39=0, "N/A", (C39-B39)/B39)</f>
        <v/>
      </c>
      <c r="E39" s="3" t="n"/>
      <c r="F39" s="3" t="n"/>
      <c r="G39" s="6">
        <f>IF(E39=0, "N/A", (F39-E39)/E39)</f>
        <v/>
      </c>
      <c r="H39" s="3" t="n"/>
      <c r="I39" s="3" t="n"/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Camisas</t>
        </is>
      </c>
      <c r="B40" s="3" t="n">
        <v>6</v>
      </c>
      <c r="C40" s="3" t="n">
        <v>3</v>
      </c>
      <c r="D40" s="6">
        <f>IF(B40=0, "N/A", (C40-B40)/B40)</f>
        <v/>
      </c>
      <c r="E40" s="3" t="n">
        <v>4</v>
      </c>
      <c r="F40" s="3" t="n">
        <v>3</v>
      </c>
      <c r="G40" s="6">
        <f>IF(E40=0, "N/A", (F40-E40)/E40)</f>
        <v/>
      </c>
      <c r="H40" s="3" t="n">
        <v>15</v>
      </c>
      <c r="I40" s="3" t="n">
        <v>1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Camisetas Manga Larga</t>
        </is>
      </c>
      <c r="B41" s="3" t="n">
        <v>26</v>
      </c>
      <c r="C41" s="3" t="n">
        <v>10</v>
      </c>
      <c r="D41" s="6">
        <f>IF(B41=0, "N/A", (C41-B41)/B41)</f>
        <v/>
      </c>
      <c r="E41" s="3" t="n">
        <v>11</v>
      </c>
      <c r="F41" s="3" t="n">
        <v>13</v>
      </c>
      <c r="G41" s="6">
        <f>IF(E41=0, "N/A", (F41-E41)/E41)</f>
        <v/>
      </c>
      <c r="H41" s="3" t="n">
        <v>38</v>
      </c>
      <c r="I41" s="3" t="n">
        <v>7</v>
      </c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Camisetas Manga Larga Orangutan</t>
        </is>
      </c>
      <c r="B42" s="3" t="n"/>
      <c r="C42" s="3" t="n">
        <v>5</v>
      </c>
      <c r="D42" s="6">
        <f>IF(B42=0, "N/A", (C42-B42)/B42)</f>
        <v/>
      </c>
      <c r="E42" s="3" t="n"/>
      <c r="F42" s="3" t="n">
        <v>4</v>
      </c>
      <c r="G42" s="6">
        <f>IF(E42=0, "N/A", (F42-E42)/E42)</f>
        <v/>
      </c>
      <c r="H42" s="3" t="n"/>
      <c r="I42" s="3" t="n">
        <v>28</v>
      </c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Campera S Capucha</t>
        </is>
      </c>
      <c r="B43" s="3" t="n">
        <v>8</v>
      </c>
      <c r="C43" s="3" t="n">
        <v>1</v>
      </c>
      <c r="D43" s="6">
        <f>IF(B43=0, "N/A", (C43-B43)/B43)</f>
        <v/>
      </c>
      <c r="E43" s="3" t="n">
        <v>9</v>
      </c>
      <c r="F43" s="3" t="n">
        <v>2</v>
      </c>
      <c r="G43" s="6">
        <f>IF(E43=0, "N/A", (F43-E43)/E43)</f>
        <v/>
      </c>
      <c r="H43" s="3" t="n">
        <v>35</v>
      </c>
      <c r="I43" s="3" t="n">
        <v>8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Camperas Capucha</t>
        </is>
      </c>
      <c r="B44" s="3" t="n">
        <v>7</v>
      </c>
      <c r="C44" s="3" t="n">
        <v>21</v>
      </c>
      <c r="D44" s="6">
        <f>IF(B44=0, "N/A", (C44-B44)/B44)</f>
        <v/>
      </c>
      <c r="E44" s="3" t="n">
        <v>6</v>
      </c>
      <c r="F44" s="3" t="n">
        <v>20</v>
      </c>
      <c r="G44" s="6">
        <f>IF(E44=0, "N/A", (F44-E44)/E44)</f>
        <v/>
      </c>
      <c r="H44" s="3" t="n">
        <v>55</v>
      </c>
      <c r="I44" s="3" t="n">
        <v>28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Camperas De Abrigo</t>
        </is>
      </c>
      <c r="B45" s="3" t="n">
        <v>9</v>
      </c>
      <c r="C45" s="3" t="n">
        <v>6</v>
      </c>
      <c r="D45" s="6">
        <f>IF(B45=0, "N/A", (C45-B45)/B45)</f>
        <v/>
      </c>
      <c r="E45" s="3" t="n">
        <v>9</v>
      </c>
      <c r="F45" s="3" t="n">
        <v>13</v>
      </c>
      <c r="G45" s="6">
        <f>IF(E45=0, "N/A", (F45-E45)/E45)</f>
        <v/>
      </c>
      <c r="H45" s="3" t="n">
        <v>18</v>
      </c>
      <c r="I45" s="3" t="n">
        <v>22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Chombas</t>
        </is>
      </c>
      <c r="B46" s="3" t="n">
        <v>28</v>
      </c>
      <c r="C46" s="3" t="n">
        <v>8</v>
      </c>
      <c r="D46" s="6">
        <f>IF(B46=0, "N/A", (C46-B46)/B46)</f>
        <v/>
      </c>
      <c r="E46" s="3" t="n">
        <v>15</v>
      </c>
      <c r="F46" s="3" t="n">
        <v>6</v>
      </c>
      <c r="G46" s="6">
        <f>IF(E46=0, "N/A", (F46-E46)/E46)</f>
        <v/>
      </c>
      <c r="H46" s="3" t="n">
        <v>13</v>
      </c>
      <c r="I46" s="3" t="n">
        <v>1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Chombas Manga Larga</t>
        </is>
      </c>
      <c r="B47" s="3" t="n"/>
      <c r="C47" s="3" t="n">
        <v>1</v>
      </c>
      <c r="D47" s="6">
        <f>IF(B47=0, "N/A", (C47-B47)/B47)</f>
        <v/>
      </c>
      <c r="E47" s="3" t="n">
        <v>1</v>
      </c>
      <c r="F47" s="3" t="n">
        <v>8</v>
      </c>
      <c r="G47" s="6">
        <f>IF(E47=0, "N/A", (F47-E47)/E47)</f>
        <v/>
      </c>
      <c r="H47" s="3" t="n">
        <v>2</v>
      </c>
      <c r="I47" s="3" t="n">
        <v>-3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Jeans</t>
        </is>
      </c>
      <c r="B48" s="3" t="n">
        <v>56</v>
      </c>
      <c r="C48" s="3" t="n">
        <v>39</v>
      </c>
      <c r="D48" s="6">
        <f>IF(B48=0, "N/A", (C48-B48)/B48)</f>
        <v/>
      </c>
      <c r="E48" s="3" t="n">
        <v>64</v>
      </c>
      <c r="F48" s="3" t="n">
        <v>49</v>
      </c>
      <c r="G48" s="6">
        <f>IF(E48=0, "N/A", (F48-E48)/E48)</f>
        <v/>
      </c>
      <c r="H48" s="3" t="n">
        <v>268</v>
      </c>
      <c r="I48" s="3" t="n">
        <v>273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Jogging</t>
        </is>
      </c>
      <c r="B49" s="3" t="n">
        <v>16</v>
      </c>
      <c r="C49" s="3" t="n">
        <v>4</v>
      </c>
      <c r="D49" s="6">
        <f>IF(B49=0, "N/A", (C49-B49)/B49)</f>
        <v/>
      </c>
      <c r="E49" s="3" t="n">
        <v>9</v>
      </c>
      <c r="F49" s="3" t="n">
        <v>9</v>
      </c>
      <c r="G49" s="6">
        <f>IF(E49=0, "N/A", (F49-E49)/E49)</f>
        <v/>
      </c>
      <c r="H49" s="3" t="n">
        <v>66</v>
      </c>
      <c r="I49" s="3" t="n">
        <v>43</v>
      </c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Musculosas</t>
        </is>
      </c>
      <c r="B50" s="3" t="n"/>
      <c r="C50" s="3" t="n"/>
      <c r="D50" s="6">
        <f>IF(B50=0, "N/A", (C50-B50)/B50)</f>
        <v/>
      </c>
      <c r="E50" s="3" t="n"/>
      <c r="F50" s="3" t="n"/>
      <c r="G50" s="6">
        <f>IF(E50=0, "N/A", (F50-E50)/E50)</f>
        <v/>
      </c>
      <c r="H50" s="3" t="n">
        <v>2</v>
      </c>
      <c r="I50" s="3" t="n"/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Other</t>
        </is>
      </c>
      <c r="B51" s="3" t="n"/>
      <c r="C51" s="3" t="n"/>
      <c r="D51" s="6">
        <f>IF(B51=0, "N/A", (C51-B51)/B51)</f>
        <v/>
      </c>
      <c r="E51" s="3" t="n">
        <v>2</v>
      </c>
      <c r="F51" s="3" t="n"/>
      <c r="G51" s="6">
        <f>IF(E51=0, "N/A", (F51-E51)/E51)</f>
        <v/>
      </c>
      <c r="H51" s="3" t="n"/>
      <c r="I51" s="3" t="n">
        <v>1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Remeras</t>
        </is>
      </c>
      <c r="B52" s="3" t="n">
        <v>78</v>
      </c>
      <c r="C52" s="3" t="n">
        <v>35</v>
      </c>
      <c r="D52" s="6">
        <f>IF(B52=0, "N/A", (C52-B52)/B52)</f>
        <v/>
      </c>
      <c r="E52" s="3" t="n">
        <v>129</v>
      </c>
      <c r="F52" s="3" t="n">
        <v>53</v>
      </c>
      <c r="G52" s="6">
        <f>IF(E52=0, "N/A", (F52-E52)/E52)</f>
        <v/>
      </c>
      <c r="H52" s="3" t="n">
        <v>261</v>
      </c>
      <c r="I52" s="3" t="n">
        <v>234</v>
      </c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Sweaters</t>
        </is>
      </c>
      <c r="B53" s="3" t="n">
        <v>6</v>
      </c>
      <c r="C53" s="3" t="n">
        <v>8</v>
      </c>
      <c r="D53" s="6">
        <f>IF(B53=0, "N/A", (C53-B53)/B53)</f>
        <v/>
      </c>
      <c r="E53" s="3" t="n">
        <v>17</v>
      </c>
      <c r="F53" s="3" t="n">
        <v>7</v>
      </c>
      <c r="G53" s="6">
        <f>IF(E53=0, "N/A", (F53-E53)/E53)</f>
        <v/>
      </c>
      <c r="H53" s="3" t="n">
        <v>5</v>
      </c>
      <c r="I53" s="3" t="n">
        <v>4</v>
      </c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Trajes De Baño</t>
        </is>
      </c>
      <c r="B54" s="3" t="n"/>
      <c r="C54" s="3" t="n"/>
      <c r="D54" s="6">
        <f>IF(B54=0, "N/A", (C54-B54)/B54)</f>
        <v/>
      </c>
      <c r="E54" s="3" t="n">
        <v>3</v>
      </c>
      <c r="F54" s="3" t="n"/>
      <c r="G54" s="6">
        <f>IF(E54=0, "N/A", (F54-E54)/E54)</f>
        <v/>
      </c>
      <c r="H54" s="3" t="n"/>
      <c r="I54" s="3" t="n"/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5" t="inlineStr">
        <is>
          <t>Totals</t>
        </is>
      </c>
      <c r="B55" s="4">
        <f>SUM($B30:$B54)</f>
        <v/>
      </c>
      <c r="C55" s="4">
        <f>SUM($C30:$C54)</f>
        <v/>
      </c>
      <c r="D55" s="7">
        <f>IF(B55=0, "N/A", (C55-B55)/B55)</f>
        <v/>
      </c>
      <c r="E55" s="4">
        <f>SUM($E30:$E54)</f>
        <v/>
      </c>
      <c r="F55" s="4">
        <f>SUM($F30:$F54)</f>
        <v/>
      </c>
      <c r="G55" s="7">
        <f>IF(E55=0, "N/A", (F55-E55)/E55)</f>
        <v/>
      </c>
      <c r="H55" s="4">
        <f>SUM($H30:$H54)</f>
        <v/>
      </c>
      <c r="I55" s="4">
        <f>SUM($I30:$I54)</f>
        <v/>
      </c>
      <c r="J55" s="7">
        <f>IF(H55=0, "N/A", (I55-H55)/H55)</f>
        <v/>
      </c>
      <c r="K55" s="4">
        <f>SUM($K30:$K54)</f>
        <v/>
      </c>
      <c r="L55" s="4">
        <f>SUM($L30:$L54)</f>
        <v/>
      </c>
      <c r="M55" s="7">
        <f>IF(K55=0, "N/A", (L55-K55)/K55)</f>
        <v/>
      </c>
    </row>
    <row r="58">
      <c r="A58" s="1" t="inlineStr">
        <is>
          <t>YoY Comparison - Branch Group 2</t>
        </is>
      </c>
    </row>
    <row r="59">
      <c r="B59" s="1" t="inlineStr">
        <is>
          <t>VIRREYES</t>
        </is>
      </c>
      <c r="C59" s="1" t="n"/>
      <c r="D59" s="1" t="n"/>
    </row>
    <row r="60">
      <c r="A60" s="1" t="inlineStr">
        <is>
          <t>Familias</t>
        </is>
      </c>
      <c r="B60" s="1" t="n">
        <v>2025</v>
      </c>
      <c r="C60" s="1" t="n">
        <v>2026</v>
      </c>
      <c r="D60" s="1" t="inlineStr">
        <is>
          <t>%</t>
        </is>
      </c>
    </row>
    <row r="61">
      <c r="A61" s="2" t="inlineStr">
        <is>
          <t>Accesorios</t>
        </is>
      </c>
      <c r="B61" s="3" t="n">
        <v>5</v>
      </c>
      <c r="C61" s="3" t="n">
        <v>1</v>
      </c>
      <c r="D61" s="6">
        <f>IF(B61=0, "N/A", (C61-B61)/B61)</f>
        <v/>
      </c>
    </row>
    <row r="62">
      <c r="A62" s="2" t="inlineStr">
        <is>
          <t>Boxer</t>
        </is>
      </c>
      <c r="B62" s="3" t="n">
        <v>1</v>
      </c>
      <c r="C62" s="3" t="n">
        <v>6</v>
      </c>
      <c r="D62" s="6">
        <f>IF(B62=0, "N/A", (C62-B62)/B62)</f>
        <v/>
      </c>
    </row>
    <row r="63">
      <c r="A63" s="2" t="inlineStr">
        <is>
          <t>Buzo Cuello Redondo</t>
        </is>
      </c>
      <c r="B63" s="3" t="n">
        <v>6</v>
      </c>
      <c r="C63" s="3" t="n">
        <v>1</v>
      </c>
      <c r="D63" s="6">
        <f>IF(B63=0, "N/A", (C63-B63)/B63)</f>
        <v/>
      </c>
    </row>
    <row r="64">
      <c r="A64" s="2" t="inlineStr">
        <is>
          <t>Buzos C Capucha</t>
        </is>
      </c>
      <c r="B64" s="3" t="n">
        <v>11</v>
      </c>
      <c r="C64" s="3" t="n">
        <v>3</v>
      </c>
      <c r="D64" s="6">
        <f>IF(B64=0, "N/A", (C64-B64)/B64)</f>
        <v/>
      </c>
    </row>
    <row r="65">
      <c r="A65" s="2" t="inlineStr">
        <is>
          <t>Buzos C Capucha Orangutan</t>
        </is>
      </c>
      <c r="B65" s="3" t="n"/>
      <c r="C65" s="3" t="n">
        <v>4</v>
      </c>
      <c r="D65" s="6">
        <f>IF(B65=0, "N/A", (C65-B65)/B65)</f>
        <v/>
      </c>
    </row>
    <row r="66">
      <c r="A66" s="2" t="inlineStr">
        <is>
          <t>Buzos C Redondo Orangutan</t>
        </is>
      </c>
      <c r="B66" s="3" t="n"/>
      <c r="C66" s="3" t="n">
        <v>6</v>
      </c>
      <c r="D66" s="6">
        <f>IF(B66=0, "N/A", (C66-B66)/B66)</f>
        <v/>
      </c>
    </row>
    <row r="67">
      <c r="A67" s="2" t="inlineStr">
        <is>
          <t>Buzos Medio Cierre</t>
        </is>
      </c>
      <c r="B67" s="3" t="n">
        <v>2</v>
      </c>
      <c r="C67" s="3" t="n"/>
      <c r="D67" s="6">
        <f>IF(B67=0, "N/A", (C67-B67)/B67)</f>
        <v/>
      </c>
    </row>
    <row r="68">
      <c r="A68" s="2" t="inlineStr">
        <is>
          <t>Camisetas Manga Larga</t>
        </is>
      </c>
      <c r="B68" s="3" t="n">
        <v>4</v>
      </c>
      <c r="C68" s="3" t="n"/>
      <c r="D68" s="6">
        <f>IF(B68=0, "N/A", (C68-B68)/B68)</f>
        <v/>
      </c>
    </row>
    <row r="69">
      <c r="A69" s="2" t="inlineStr">
        <is>
          <t>Camisetas Manga Larga Orangutan</t>
        </is>
      </c>
      <c r="B69" s="3" t="n"/>
      <c r="C69" s="3" t="n">
        <v>-2</v>
      </c>
      <c r="D69" s="6">
        <f>IF(B69=0, "N/A", (C69-B69)/B69)</f>
        <v/>
      </c>
    </row>
    <row r="70">
      <c r="A70" s="2" t="inlineStr">
        <is>
          <t>Camperas Capucha</t>
        </is>
      </c>
      <c r="B70" s="3" t="n">
        <v>2</v>
      </c>
      <c r="C70" s="3" t="n">
        <v>3</v>
      </c>
      <c r="D70" s="6">
        <f>IF(B70=0, "N/A", (C70-B70)/B70)</f>
        <v/>
      </c>
    </row>
    <row r="71">
      <c r="A71" s="2" t="inlineStr">
        <is>
          <t>Camperas De Abrigo</t>
        </is>
      </c>
      <c r="B71" s="3" t="n">
        <v>2</v>
      </c>
      <c r="C71" s="3" t="n">
        <v>3</v>
      </c>
      <c r="D71" s="6">
        <f>IF(B71=0, "N/A", (C71-B71)/B71)</f>
        <v/>
      </c>
    </row>
    <row r="72">
      <c r="A72" s="2" t="inlineStr">
        <is>
          <t>Jeans</t>
        </is>
      </c>
      <c r="B72" s="3" t="n">
        <v>9</v>
      </c>
      <c r="C72" s="3" t="n">
        <v>20</v>
      </c>
      <c r="D72" s="6">
        <f>IF(B72=0, "N/A", (C72-B72)/B72)</f>
        <v/>
      </c>
    </row>
    <row r="73">
      <c r="A73" s="2" t="inlineStr">
        <is>
          <t>Jogging</t>
        </is>
      </c>
      <c r="B73" s="3" t="n">
        <v>4</v>
      </c>
      <c r="C73" s="3" t="n">
        <v>6</v>
      </c>
      <c r="D73" s="6">
        <f>IF(B73=0, "N/A", (C73-B73)/B73)</f>
        <v/>
      </c>
    </row>
    <row r="74">
      <c r="A74" s="2" t="inlineStr">
        <is>
          <t>Remeras</t>
        </is>
      </c>
      <c r="B74" s="3" t="n">
        <v>27</v>
      </c>
      <c r="C74" s="3" t="n">
        <v>15</v>
      </c>
      <c r="D74" s="6">
        <f>IF(B74=0, "N/A", (C74-B74)/B74)</f>
        <v/>
      </c>
    </row>
    <row r="75">
      <c r="A75" s="2" t="inlineStr">
        <is>
          <t>Sweaters</t>
        </is>
      </c>
      <c r="B75" s="3" t="n">
        <v>5</v>
      </c>
      <c r="C75" s="3" t="n"/>
      <c r="D75" s="6">
        <f>IF(B75=0, "N/A", (C75-B75)/B75)</f>
        <v/>
      </c>
    </row>
    <row r="76">
      <c r="A76" s="5" t="inlineStr">
        <is>
          <t>Totals</t>
        </is>
      </c>
      <c r="B76" s="4">
        <f>SUM($B61:$B75)</f>
        <v/>
      </c>
      <c r="C76" s="4">
        <f>SUM($C61:$C75)</f>
        <v/>
      </c>
      <c r="D76" s="7">
        <f>IF(B76=0, "N/A", (C76-B76)/B76)</f>
        <v/>
      </c>
    </row>
  </sheetData>
  <mergeCells count="8">
    <mergeCell ref="A58:D58"/>
    <mergeCell ref="A27:M27"/>
    <mergeCell ref="B59:C59"/>
    <mergeCell ref="A1:F1"/>
    <mergeCell ref="B28:C28"/>
    <mergeCell ref="K28:L28"/>
    <mergeCell ref="E28:F28"/>
    <mergeCell ref="H28:I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Sales from August 01, 2026 to August 12,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4</v>
      </c>
      <c r="C3" s="3" t="n">
        <v>10</v>
      </c>
      <c r="D3" s="3" t="n">
        <v>32</v>
      </c>
      <c r="E3" s="3" t="n"/>
      <c r="F3" s="4">
        <f>B3+C3+D3+E3</f>
        <v/>
      </c>
    </row>
    <row r="4">
      <c r="A4" s="2" t="inlineStr">
        <is>
          <t>Bermudas</t>
        </is>
      </c>
      <c r="B4" s="3" t="n"/>
      <c r="C4" s="3" t="n">
        <v>2</v>
      </c>
      <c r="D4" s="3" t="n"/>
      <c r="E4" s="3" t="n"/>
      <c r="F4" s="4">
        <f>B4+C4+D4+E4</f>
        <v/>
      </c>
    </row>
    <row r="5">
      <c r="A5" s="2" t="inlineStr">
        <is>
          <t>Boxer</t>
        </is>
      </c>
      <c r="B5" s="3" t="n">
        <v>5</v>
      </c>
      <c r="C5" s="3" t="n">
        <v>3</v>
      </c>
      <c r="D5" s="3" t="n">
        <v>19</v>
      </c>
      <c r="E5" s="3" t="n"/>
      <c r="F5" s="4">
        <f>B5+C5+D5+E5</f>
        <v/>
      </c>
    </row>
    <row r="6">
      <c r="A6" s="2" t="inlineStr">
        <is>
          <t>Buzo Cuello Redondo</t>
        </is>
      </c>
      <c r="B6" s="3" t="n">
        <v>21</v>
      </c>
      <c r="C6" s="3" t="n">
        <v>14</v>
      </c>
      <c r="D6" s="3" t="n">
        <v>70</v>
      </c>
      <c r="E6" s="3" t="n">
        <v>1</v>
      </c>
      <c r="F6" s="4">
        <f>B6+C6+D6+E6</f>
        <v/>
      </c>
    </row>
    <row r="7">
      <c r="A7" s="2" t="inlineStr">
        <is>
          <t>Buzos</t>
        </is>
      </c>
      <c r="B7" s="3" t="n"/>
      <c r="C7" s="3" t="n"/>
      <c r="D7" s="3" t="n">
        <v>4</v>
      </c>
      <c r="E7" s="3" t="n"/>
      <c r="F7" s="4">
        <f>B7+C7+D7+E7</f>
        <v/>
      </c>
    </row>
    <row r="8">
      <c r="A8" s="2" t="inlineStr">
        <is>
          <t>Buzos C Capucha</t>
        </is>
      </c>
      <c r="B8" s="3" t="n">
        <v>12</v>
      </c>
      <c r="C8" s="3" t="n">
        <v>7</v>
      </c>
      <c r="D8" s="3" t="n">
        <v>25</v>
      </c>
      <c r="E8" s="3" t="n"/>
      <c r="F8" s="4">
        <f>B8+C8+D8+E8</f>
        <v/>
      </c>
    </row>
    <row r="9">
      <c r="A9" s="2" t="inlineStr">
        <is>
          <t>Buzos C Capucha Orangutan</t>
        </is>
      </c>
      <c r="B9" s="3" t="n">
        <v>2</v>
      </c>
      <c r="C9" s="3" t="n">
        <v>3</v>
      </c>
      <c r="D9" s="3" t="n">
        <v>32</v>
      </c>
      <c r="E9" s="3" t="n">
        <v>4</v>
      </c>
      <c r="F9" s="4">
        <f>B9+C9+D9+E9</f>
        <v/>
      </c>
    </row>
    <row r="10">
      <c r="A10" s="2" t="inlineStr">
        <is>
          <t>Buzos C Redondo Orangutan</t>
        </is>
      </c>
      <c r="B10" s="3" t="n">
        <v>1</v>
      </c>
      <c r="C10" s="3" t="n">
        <v>1</v>
      </c>
      <c r="D10" s="3" t="n">
        <v>3</v>
      </c>
      <c r="E10" s="3" t="n">
        <v>2</v>
      </c>
      <c r="F10" s="4">
        <f>B10+C10+D10+E10</f>
        <v/>
      </c>
    </row>
    <row r="11">
      <c r="A11" s="2" t="inlineStr">
        <is>
          <t>Buzos Medio Cierre</t>
        </is>
      </c>
      <c r="B11" s="3" t="n"/>
      <c r="C11" s="3" t="n"/>
      <c r="D11" s="3" t="n">
        <v>1</v>
      </c>
      <c r="E11" s="3" t="n"/>
      <c r="F11" s="4">
        <f>B11+C11+D11+E11</f>
        <v/>
      </c>
    </row>
    <row r="12">
      <c r="A12" s="2" t="inlineStr">
        <is>
          <t>Calzado</t>
        </is>
      </c>
      <c r="B12" s="3" t="n"/>
      <c r="C12" s="3" t="n"/>
      <c r="D12" s="3" t="n">
        <v>1</v>
      </c>
      <c r="E12" s="3" t="n"/>
      <c r="F12" s="4">
        <f>B12+C12+D12+E12</f>
        <v/>
      </c>
    </row>
    <row r="13">
      <c r="A13" s="2" t="inlineStr">
        <is>
          <t>Camisas</t>
        </is>
      </c>
      <c r="B13" s="3" t="n">
        <v>5</v>
      </c>
      <c r="C13" s="3" t="n">
        <v>2</v>
      </c>
      <c r="D13" s="3" t="n"/>
      <c r="E13" s="3" t="n"/>
      <c r="F13" s="4">
        <f>B13+C13+D13+E13</f>
        <v/>
      </c>
    </row>
    <row r="14">
      <c r="A14" s="2" t="inlineStr">
        <is>
          <t>Camisetas Manga Larga</t>
        </is>
      </c>
      <c r="B14" s="3" t="n">
        <v>9</v>
      </c>
      <c r="C14" s="3" t="n">
        <v>11</v>
      </c>
      <c r="D14" s="3" t="n">
        <v>2</v>
      </c>
      <c r="E14" s="3" t="n"/>
      <c r="F14" s="4">
        <f>B14+C14+D14+E14</f>
        <v/>
      </c>
    </row>
    <row r="15">
      <c r="A15" s="2" t="inlineStr">
        <is>
          <t>Camisetas Manga Larga Orangutan</t>
        </is>
      </c>
      <c r="B15" s="3" t="n">
        <v>2</v>
      </c>
      <c r="C15" s="3" t="n">
        <v>2</v>
      </c>
      <c r="D15" s="3" t="n">
        <v>14</v>
      </c>
      <c r="E15" s="3" t="n"/>
      <c r="F15" s="4">
        <f>B15+C15+D15+E15</f>
        <v/>
      </c>
    </row>
    <row r="16">
      <c r="A16" s="2" t="inlineStr">
        <is>
          <t>Campera S Capucha</t>
        </is>
      </c>
      <c r="B16" s="3" t="n">
        <v>1</v>
      </c>
      <c r="C16" s="3" t="n"/>
      <c r="D16" s="3" t="n">
        <v>2</v>
      </c>
      <c r="E16" s="3" t="n"/>
      <c r="F16" s="4">
        <f>B16+C16+D16+E16</f>
        <v/>
      </c>
    </row>
    <row r="17">
      <c r="A17" s="2" t="inlineStr">
        <is>
          <t>Camperas Capucha</t>
        </is>
      </c>
      <c r="B17" s="3" t="n">
        <v>4</v>
      </c>
      <c r="C17" s="3" t="n">
        <v>7</v>
      </c>
      <c r="D17" s="3" t="n">
        <v>25</v>
      </c>
      <c r="E17" s="3" t="n"/>
      <c r="F17" s="4">
        <f>B17+C17+D17+E17</f>
        <v/>
      </c>
    </row>
    <row r="18">
      <c r="A18" s="2" t="inlineStr">
        <is>
          <t>Camperas De Abrigo</t>
        </is>
      </c>
      <c r="B18" s="3" t="n">
        <v>2</v>
      </c>
      <c r="C18" s="3" t="n">
        <v>-7</v>
      </c>
      <c r="D18" s="3" t="n">
        <v>9</v>
      </c>
      <c r="E18" s="3" t="n"/>
      <c r="F18" s="4">
        <f>B18+C18+D18+E18</f>
        <v/>
      </c>
    </row>
    <row r="19">
      <c r="A19" s="2" t="inlineStr">
        <is>
          <t>Chombas</t>
        </is>
      </c>
      <c r="B19" s="3" t="n">
        <v>4</v>
      </c>
      <c r="C19" s="3" t="n">
        <v>2</v>
      </c>
      <c r="D19" s="3" t="n">
        <v>3</v>
      </c>
      <c r="E19" s="3" t="n"/>
      <c r="F19" s="4">
        <f>B19+C19+D19+E19</f>
        <v/>
      </c>
    </row>
    <row r="20">
      <c r="A20" s="2" t="inlineStr">
        <is>
          <t>Chombas Manga Larga</t>
        </is>
      </c>
      <c r="B20" s="3" t="n">
        <v>1</v>
      </c>
      <c r="C20" s="3" t="n">
        <v>3</v>
      </c>
      <c r="D20" s="3" t="n"/>
      <c r="E20" s="3" t="n"/>
      <c r="F20" s="4">
        <f>B20+C20+D20+E20</f>
        <v/>
      </c>
    </row>
    <row r="21">
      <c r="A21" s="2" t="inlineStr">
        <is>
          <t>Detroit</t>
        </is>
      </c>
      <c r="B21" s="3" t="n"/>
      <c r="C21" s="3" t="n"/>
      <c r="D21" s="3" t="n"/>
      <c r="E21" s="3" t="n">
        <v>1</v>
      </c>
      <c r="F21" s="4">
        <f>B21+C21+D21+E21</f>
        <v/>
      </c>
    </row>
    <row r="22">
      <c r="A22" s="2" t="inlineStr">
        <is>
          <t>Jeans</t>
        </is>
      </c>
      <c r="B22" s="3" t="n">
        <v>18</v>
      </c>
      <c r="C22" s="3" t="n">
        <v>24</v>
      </c>
      <c r="D22" s="3" t="n">
        <v>158</v>
      </c>
      <c r="E22" s="3" t="n">
        <v>4</v>
      </c>
      <c r="F22" s="4">
        <f>B22+C22+D22+E22</f>
        <v/>
      </c>
    </row>
    <row r="23">
      <c r="A23" s="2" t="inlineStr">
        <is>
          <t>Jogging</t>
        </is>
      </c>
      <c r="B23" s="3" t="n"/>
      <c r="C23" s="3" t="n">
        <v>4</v>
      </c>
      <c r="D23" s="3" t="n">
        <v>7</v>
      </c>
      <c r="E23" s="3" t="n"/>
      <c r="F23" s="4">
        <f>B23+C23+D23+E23</f>
        <v/>
      </c>
    </row>
    <row r="24">
      <c r="A24" s="2" t="inlineStr">
        <is>
          <t>Remeras</t>
        </is>
      </c>
      <c r="B24" s="3" t="n">
        <v>10</v>
      </c>
      <c r="C24" s="3" t="n">
        <v>48</v>
      </c>
      <c r="D24" s="3" t="n">
        <v>125</v>
      </c>
      <c r="E24" s="3" t="n">
        <v>3</v>
      </c>
      <c r="F24" s="4">
        <f>B24+C24+D24+E24</f>
        <v/>
      </c>
    </row>
    <row r="25">
      <c r="A25" s="2" t="inlineStr">
        <is>
          <t>Sweaters</t>
        </is>
      </c>
      <c r="B25" s="3" t="n">
        <v>3</v>
      </c>
      <c r="C25" s="3" t="n">
        <v>2</v>
      </c>
      <c r="D25" s="3" t="n">
        <v>1</v>
      </c>
      <c r="E25" s="3" t="n"/>
      <c r="F25" s="4">
        <f>B25+C25+D25+E25</f>
        <v/>
      </c>
    </row>
    <row r="26">
      <c r="A26" s="5" t="inlineStr">
        <is>
          <t>Totals</t>
        </is>
      </c>
      <c r="B26" s="4">
        <f>SUM($B$3:$B$25)</f>
        <v/>
      </c>
      <c r="C26" s="4">
        <f>SUM($C$3:$C$25)</f>
        <v/>
      </c>
      <c r="D26" s="4">
        <f>SUM($D$3:$D$25)</f>
        <v/>
      </c>
      <c r="E26" s="4">
        <f>SUM($E$3:$E$25)</f>
        <v/>
      </c>
      <c r="F26" s="4">
        <f>SUM($F$3:$F$25)</f>
        <v/>
      </c>
    </row>
    <row r="29">
      <c r="A29" s="1" t="inlineStr">
        <is>
          <t>YoY Comparison - Branch Group 1</t>
        </is>
      </c>
    </row>
    <row r="30">
      <c r="B30" s="1" t="inlineStr">
        <is>
          <t>LIBERT.R</t>
        </is>
      </c>
      <c r="C30" s="1" t="n"/>
      <c r="D30" s="1" t="n"/>
      <c r="E30" s="1" t="inlineStr">
        <is>
          <t>PASO.R</t>
        </is>
      </c>
      <c r="F30" s="1" t="n"/>
      <c r="G30" s="1" t="n"/>
      <c r="H30" s="1" t="inlineStr">
        <is>
          <t>P.OESTE</t>
        </is>
      </c>
      <c r="I30" s="1" t="n"/>
      <c r="J30" s="1" t="n"/>
      <c r="K30" s="1" t="inlineStr">
        <is>
          <t>Global</t>
        </is>
      </c>
      <c r="L30" s="1" t="n"/>
      <c r="M30" s="1" t="n"/>
    </row>
    <row r="31">
      <c r="A31" s="1" t="inlineStr">
        <is>
          <t>Familias</t>
        </is>
      </c>
      <c r="B31" s="1" t="n">
        <v>2025</v>
      </c>
      <c r="C31" s="1" t="n">
        <v>2026</v>
      </c>
      <c r="D31" s="1" t="inlineStr">
        <is>
          <t>%</t>
        </is>
      </c>
      <c r="E31" s="1" t="n">
        <v>2025</v>
      </c>
      <c r="F31" s="1" t="n">
        <v>2026</v>
      </c>
      <c r="G31" s="1" t="inlineStr">
        <is>
          <t>%</t>
        </is>
      </c>
      <c r="H31" s="1" t="n">
        <v>2025</v>
      </c>
      <c r="I31" s="1" t="n">
        <v>2026</v>
      </c>
      <c r="J31" s="1" t="inlineStr">
        <is>
          <t>%</t>
        </is>
      </c>
      <c r="K31" s="1" t="n">
        <v>2025</v>
      </c>
      <c r="L31" s="1" t="n">
        <v>2026</v>
      </c>
      <c r="M31" s="1" t="inlineStr">
        <is>
          <t>%</t>
        </is>
      </c>
    </row>
    <row r="32">
      <c r="A32" s="2" t="inlineStr">
        <is>
          <t>Accesorios</t>
        </is>
      </c>
      <c r="B32" s="3" t="n">
        <v>5</v>
      </c>
      <c r="C32" s="3" t="n">
        <v>4</v>
      </c>
      <c r="D32" s="6">
        <f>IF(B32=0, "N/A", (C32-B32)/B32)</f>
        <v/>
      </c>
      <c r="E32" s="3" t="n">
        <v>4</v>
      </c>
      <c r="F32" s="3" t="n">
        <v>10</v>
      </c>
      <c r="G32" s="6">
        <f>IF(E32=0, "N/A", (F32-E32)/E32)</f>
        <v/>
      </c>
      <c r="H32" s="3" t="n">
        <v>24</v>
      </c>
      <c r="I32" s="3" t="n">
        <v>32</v>
      </c>
      <c r="J32" s="6">
        <f>IF(H32=0, "N/A", (I32-H32)/H32)</f>
        <v/>
      </c>
      <c r="K32" s="3">
        <f>B32+E32+H32</f>
        <v/>
      </c>
      <c r="L32" s="3">
        <f>C32+F32+I32</f>
        <v/>
      </c>
      <c r="M32" s="6">
        <f>IF(K32=0, "N/A", (L32-K32)/K32)</f>
        <v/>
      </c>
    </row>
    <row r="33">
      <c r="A33" s="2" t="inlineStr">
        <is>
          <t>Bermudas</t>
        </is>
      </c>
      <c r="B33" s="3" t="n"/>
      <c r="C33" s="3" t="n"/>
      <c r="D33" s="6">
        <f>IF(B33=0, "N/A", (C33-B33)/B33)</f>
        <v/>
      </c>
      <c r="E33" s="3" t="n"/>
      <c r="F33" s="3" t="n">
        <v>2</v>
      </c>
      <c r="G33" s="6">
        <f>IF(E33=0, "N/A", (F33-E33)/E33)</f>
        <v/>
      </c>
      <c r="H33" s="3" t="n"/>
      <c r="I33" s="3" t="n"/>
      <c r="J33" s="6">
        <f>IF(H33=0, "N/A", (I33-H33)/H33)</f>
        <v/>
      </c>
      <c r="K33" s="3">
        <f>B33+E33+H33</f>
        <v/>
      </c>
      <c r="L33" s="3">
        <f>C33+F33+I33</f>
        <v/>
      </c>
      <c r="M33" s="6">
        <f>IF(K33=0, "N/A", (L33-K33)/K33)</f>
        <v/>
      </c>
    </row>
    <row r="34">
      <c r="A34" s="2" t="inlineStr">
        <is>
          <t>Boxer</t>
        </is>
      </c>
      <c r="B34" s="3" t="n">
        <v>4</v>
      </c>
      <c r="C34" s="3" t="n">
        <v>5</v>
      </c>
      <c r="D34" s="6">
        <f>IF(B34=0, "N/A", (C34-B34)/B34)</f>
        <v/>
      </c>
      <c r="E34" s="3" t="n"/>
      <c r="F34" s="3" t="n">
        <v>3</v>
      </c>
      <c r="G34" s="6">
        <f>IF(E34=0, "N/A", (F34-E34)/E34)</f>
        <v/>
      </c>
      <c r="H34" s="3" t="n">
        <v>18</v>
      </c>
      <c r="I34" s="3" t="n">
        <v>19</v>
      </c>
      <c r="J34" s="6">
        <f>IF(H34=0, "N/A", (I34-H34)/H34)</f>
        <v/>
      </c>
      <c r="K34" s="3">
        <f>B34+E34+H34</f>
        <v/>
      </c>
      <c r="L34" s="3">
        <f>C34+F34+I34</f>
        <v/>
      </c>
      <c r="M34" s="6">
        <f>IF(K34=0, "N/A", (L34-K34)/K34)</f>
        <v/>
      </c>
    </row>
    <row r="35">
      <c r="A35" s="2" t="inlineStr">
        <is>
          <t>Buzo Cuello Redondo</t>
        </is>
      </c>
      <c r="B35" s="3" t="n">
        <v>12</v>
      </c>
      <c r="C35" s="3" t="n">
        <v>21</v>
      </c>
      <c r="D35" s="6">
        <f>IF(B35=0, "N/A", (C35-B35)/B35)</f>
        <v/>
      </c>
      <c r="E35" s="3" t="n">
        <v>41</v>
      </c>
      <c r="F35" s="3" t="n">
        <v>14</v>
      </c>
      <c r="G35" s="6">
        <f>IF(E35=0, "N/A", (F35-E35)/E35)</f>
        <v/>
      </c>
      <c r="H35" s="3" t="n">
        <v>49</v>
      </c>
      <c r="I35" s="3" t="n">
        <v>70</v>
      </c>
      <c r="J35" s="6">
        <f>IF(H35=0, "N/A", (I35-H35)/H35)</f>
        <v/>
      </c>
      <c r="K35" s="3">
        <f>B35+E35+H35</f>
        <v/>
      </c>
      <c r="L35" s="3">
        <f>C35+F35+I35</f>
        <v/>
      </c>
      <c r="M35" s="6">
        <f>IF(K35=0, "N/A", (L35-K35)/K35)</f>
        <v/>
      </c>
    </row>
    <row r="36">
      <c r="A36" s="2" t="inlineStr">
        <is>
          <t>Buzos</t>
        </is>
      </c>
      <c r="B36" s="3" t="n"/>
      <c r="C36" s="3" t="n"/>
      <c r="D36" s="6">
        <f>IF(B36=0, "N/A", (C36-B36)/B36)</f>
        <v/>
      </c>
      <c r="E36" s="3" t="n"/>
      <c r="F36" s="3" t="n"/>
      <c r="G36" s="6">
        <f>IF(E36=0, "N/A", (F36-E36)/E36)</f>
        <v/>
      </c>
      <c r="H36" s="3" t="n"/>
      <c r="I36" s="3" t="n">
        <v>4</v>
      </c>
      <c r="J36" s="6">
        <f>IF(H36=0, "N/A", (I36-H36)/H36)</f>
        <v/>
      </c>
      <c r="K36" s="3">
        <f>B36+E36+H36</f>
        <v/>
      </c>
      <c r="L36" s="3">
        <f>C36+F36+I36</f>
        <v/>
      </c>
      <c r="M36" s="6">
        <f>IF(K36=0, "N/A", (L36-K36)/K36)</f>
        <v/>
      </c>
    </row>
    <row r="37">
      <c r="A37" s="2" t="inlineStr">
        <is>
          <t>Buzos C Capucha</t>
        </is>
      </c>
      <c r="B37" s="3" t="n">
        <v>21</v>
      </c>
      <c r="C37" s="3" t="n">
        <v>12</v>
      </c>
      <c r="D37" s="6">
        <f>IF(B37=0, "N/A", (C37-B37)/B37)</f>
        <v/>
      </c>
      <c r="E37" s="3" t="n">
        <v>23</v>
      </c>
      <c r="F37" s="3" t="n">
        <v>7</v>
      </c>
      <c r="G37" s="6">
        <f>IF(E37=0, "N/A", (F37-E37)/E37)</f>
        <v/>
      </c>
      <c r="H37" s="3" t="n">
        <v>50</v>
      </c>
      <c r="I37" s="3" t="n">
        <v>25</v>
      </c>
      <c r="J37" s="6">
        <f>IF(H37=0, "N/A", (I37-H37)/H37)</f>
        <v/>
      </c>
      <c r="K37" s="3">
        <f>B37+E37+H37</f>
        <v/>
      </c>
      <c r="L37" s="3">
        <f>C37+F37+I37</f>
        <v/>
      </c>
      <c r="M37" s="6">
        <f>IF(K37=0, "N/A", (L37-K37)/K37)</f>
        <v/>
      </c>
    </row>
    <row r="38">
      <c r="A38" s="2" t="inlineStr">
        <is>
          <t>Buzos C Capucha Orangutan</t>
        </is>
      </c>
      <c r="B38" s="3" t="n"/>
      <c r="C38" s="3" t="n">
        <v>2</v>
      </c>
      <c r="D38" s="6">
        <f>IF(B38=0, "N/A", (C38-B38)/B38)</f>
        <v/>
      </c>
      <c r="E38" s="3" t="n"/>
      <c r="F38" s="3" t="n">
        <v>3</v>
      </c>
      <c r="G38" s="6">
        <f>IF(E38=0, "N/A", (F38-E38)/E38)</f>
        <v/>
      </c>
      <c r="H38" s="3" t="n"/>
      <c r="I38" s="3" t="n">
        <v>32</v>
      </c>
      <c r="J38" s="6">
        <f>IF(H38=0, "N/A", (I38-H38)/H38)</f>
        <v/>
      </c>
      <c r="K38" s="3">
        <f>B38+E38+H38</f>
        <v/>
      </c>
      <c r="L38" s="3">
        <f>C38+F38+I38</f>
        <v/>
      </c>
      <c r="M38" s="6">
        <f>IF(K38=0, "N/A", (L38-K38)/K38)</f>
        <v/>
      </c>
    </row>
    <row r="39">
      <c r="A39" s="2" t="inlineStr">
        <is>
          <t>Buzos C Redondo Orangutan</t>
        </is>
      </c>
      <c r="B39" s="3" t="n"/>
      <c r="C39" s="3" t="n">
        <v>1</v>
      </c>
      <c r="D39" s="6">
        <f>IF(B39=0, "N/A", (C39-B39)/B39)</f>
        <v/>
      </c>
      <c r="E39" s="3" t="n"/>
      <c r="F39" s="3" t="n">
        <v>1</v>
      </c>
      <c r="G39" s="6">
        <f>IF(E39=0, "N/A", (F39-E39)/E39)</f>
        <v/>
      </c>
      <c r="H39" s="3" t="n"/>
      <c r="I39" s="3" t="n">
        <v>3</v>
      </c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Buzos Medio Cierre</t>
        </is>
      </c>
      <c r="B40" s="3" t="n"/>
      <c r="C40" s="3" t="n"/>
      <c r="D40" s="6">
        <f>IF(B40=0, "N/A", (C40-B40)/B40)</f>
        <v/>
      </c>
      <c r="E40" s="3" t="n">
        <v>2</v>
      </c>
      <c r="F40" s="3" t="n"/>
      <c r="G40" s="6">
        <f>IF(E40=0, "N/A", (F40-E40)/E40)</f>
        <v/>
      </c>
      <c r="H40" s="3" t="n">
        <v>-1</v>
      </c>
      <c r="I40" s="3" t="n">
        <v>1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Calzado</t>
        </is>
      </c>
      <c r="B41" s="3" t="n"/>
      <c r="C41" s="3" t="n"/>
      <c r="D41" s="6">
        <f>IF(B41=0, "N/A", (C41-B41)/B41)</f>
        <v/>
      </c>
      <c r="E41" s="3" t="n"/>
      <c r="F41" s="3" t="n"/>
      <c r="G41" s="6">
        <f>IF(E41=0, "N/A", (F41-E41)/E41)</f>
        <v/>
      </c>
      <c r="H41" s="3" t="n"/>
      <c r="I41" s="3" t="n">
        <v>1</v>
      </c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Camisas</t>
        </is>
      </c>
      <c r="B42" s="3" t="n">
        <v>3</v>
      </c>
      <c r="C42" s="3" t="n">
        <v>5</v>
      </c>
      <c r="D42" s="6">
        <f>IF(B42=0, "N/A", (C42-B42)/B42)</f>
        <v/>
      </c>
      <c r="E42" s="3" t="n">
        <v>1</v>
      </c>
      <c r="F42" s="3" t="n">
        <v>2</v>
      </c>
      <c r="G42" s="6">
        <f>IF(E42=0, "N/A", (F42-E42)/E42)</f>
        <v/>
      </c>
      <c r="H42" s="3" t="n">
        <v>10</v>
      </c>
      <c r="I42" s="3" t="n"/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Camisetas Manga Larga</t>
        </is>
      </c>
      <c r="B43" s="3" t="n">
        <v>15</v>
      </c>
      <c r="C43" s="3" t="n">
        <v>9</v>
      </c>
      <c r="D43" s="6">
        <f>IF(B43=0, "N/A", (C43-B43)/B43)</f>
        <v/>
      </c>
      <c r="E43" s="3" t="n">
        <v>4</v>
      </c>
      <c r="F43" s="3" t="n">
        <v>11</v>
      </c>
      <c r="G43" s="6">
        <f>IF(E43=0, "N/A", (F43-E43)/E43)</f>
        <v/>
      </c>
      <c r="H43" s="3" t="n">
        <v>16</v>
      </c>
      <c r="I43" s="3" t="n">
        <v>2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Camisetas Manga Larga Orangutan</t>
        </is>
      </c>
      <c r="B44" s="3" t="n"/>
      <c r="C44" s="3" t="n">
        <v>2</v>
      </c>
      <c r="D44" s="6">
        <f>IF(B44=0, "N/A", (C44-B44)/B44)</f>
        <v/>
      </c>
      <c r="E44" s="3" t="n"/>
      <c r="F44" s="3" t="n">
        <v>2</v>
      </c>
      <c r="G44" s="6">
        <f>IF(E44=0, "N/A", (F44-E44)/E44)</f>
        <v/>
      </c>
      <c r="H44" s="3" t="n"/>
      <c r="I44" s="3" t="n">
        <v>14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Campera S Capucha</t>
        </is>
      </c>
      <c r="B45" s="3" t="n">
        <v>6</v>
      </c>
      <c r="C45" s="3" t="n">
        <v>1</v>
      </c>
      <c r="D45" s="6">
        <f>IF(B45=0, "N/A", (C45-B45)/B45)</f>
        <v/>
      </c>
      <c r="E45" s="3" t="n">
        <v>1</v>
      </c>
      <c r="F45" s="3" t="n"/>
      <c r="G45" s="6">
        <f>IF(E45=0, "N/A", (F45-E45)/E45)</f>
        <v/>
      </c>
      <c r="H45" s="3" t="n">
        <v>11</v>
      </c>
      <c r="I45" s="3" t="n">
        <v>2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Camperas Capucha</t>
        </is>
      </c>
      <c r="B46" s="3" t="n">
        <v>2</v>
      </c>
      <c r="C46" s="3" t="n">
        <v>4</v>
      </c>
      <c r="D46" s="6">
        <f>IF(B46=0, "N/A", (C46-B46)/B46)</f>
        <v/>
      </c>
      <c r="E46" s="3" t="n">
        <v>-1</v>
      </c>
      <c r="F46" s="3" t="n">
        <v>7</v>
      </c>
      <c r="G46" s="6">
        <f>IF(E46=0, "N/A", (F46-E46)/E46)</f>
        <v/>
      </c>
      <c r="H46" s="3" t="n">
        <v>16</v>
      </c>
      <c r="I46" s="3" t="n">
        <v>25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Camperas De Abrigo</t>
        </is>
      </c>
      <c r="B47" s="3" t="n">
        <v>13</v>
      </c>
      <c r="C47" s="3" t="n">
        <v>2</v>
      </c>
      <c r="D47" s="6">
        <f>IF(B47=0, "N/A", (C47-B47)/B47)</f>
        <v/>
      </c>
      <c r="E47" s="3" t="n">
        <v>5</v>
      </c>
      <c r="F47" s="3" t="n">
        <v>-7</v>
      </c>
      <c r="G47" s="6">
        <f>IF(E47=0, "N/A", (F47-E47)/E47)</f>
        <v/>
      </c>
      <c r="H47" s="3" t="n">
        <v>9</v>
      </c>
      <c r="I47" s="3" t="n">
        <v>9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Chombas</t>
        </is>
      </c>
      <c r="B48" s="3" t="n">
        <v>9</v>
      </c>
      <c r="C48" s="3" t="n">
        <v>4</v>
      </c>
      <c r="D48" s="6">
        <f>IF(B48=0, "N/A", (C48-B48)/B48)</f>
        <v/>
      </c>
      <c r="E48" s="3" t="n">
        <v>9</v>
      </c>
      <c r="F48" s="3" t="n">
        <v>2</v>
      </c>
      <c r="G48" s="6">
        <f>IF(E48=0, "N/A", (F48-E48)/E48)</f>
        <v/>
      </c>
      <c r="H48" s="3" t="n">
        <v>4</v>
      </c>
      <c r="I48" s="3" t="n">
        <v>3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Chombas Manga Larga</t>
        </is>
      </c>
      <c r="B49" s="3" t="n"/>
      <c r="C49" s="3" t="n">
        <v>1</v>
      </c>
      <c r="D49" s="6">
        <f>IF(B49=0, "N/A", (C49-B49)/B49)</f>
        <v/>
      </c>
      <c r="E49" s="3" t="n"/>
      <c r="F49" s="3" t="n">
        <v>3</v>
      </c>
      <c r="G49" s="6">
        <f>IF(E49=0, "N/A", (F49-E49)/E49)</f>
        <v/>
      </c>
      <c r="H49" s="3" t="n"/>
      <c r="I49" s="3" t="n"/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Jeans</t>
        </is>
      </c>
      <c r="B50" s="3" t="n">
        <v>30</v>
      </c>
      <c r="C50" s="3" t="n">
        <v>18</v>
      </c>
      <c r="D50" s="6">
        <f>IF(B50=0, "N/A", (C50-B50)/B50)</f>
        <v/>
      </c>
      <c r="E50" s="3" t="n">
        <v>10</v>
      </c>
      <c r="F50" s="3" t="n">
        <v>24</v>
      </c>
      <c r="G50" s="6">
        <f>IF(E50=0, "N/A", (F50-E50)/E50)</f>
        <v/>
      </c>
      <c r="H50" s="3" t="n">
        <v>98</v>
      </c>
      <c r="I50" s="3" t="n">
        <v>158</v>
      </c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Jogging</t>
        </is>
      </c>
      <c r="B51" s="3" t="n">
        <v>3</v>
      </c>
      <c r="C51" s="3" t="n"/>
      <c r="D51" s="6">
        <f>IF(B51=0, "N/A", (C51-B51)/B51)</f>
        <v/>
      </c>
      <c r="E51" s="3" t="n">
        <v>3</v>
      </c>
      <c r="F51" s="3" t="n">
        <v>4</v>
      </c>
      <c r="G51" s="6">
        <f>IF(E51=0, "N/A", (F51-E51)/E51)</f>
        <v/>
      </c>
      <c r="H51" s="3" t="n">
        <v>5</v>
      </c>
      <c r="I51" s="3" t="n">
        <v>7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Other</t>
        </is>
      </c>
      <c r="B52" s="3" t="n">
        <v>1</v>
      </c>
      <c r="C52" s="3" t="n"/>
      <c r="D52" s="6">
        <f>IF(B52=0, "N/A", (C52-B52)/B52)</f>
        <v/>
      </c>
      <c r="E52" s="3" t="n">
        <v>1</v>
      </c>
      <c r="F52" s="3" t="n"/>
      <c r="G52" s="6">
        <f>IF(E52=0, "N/A", (F52-E52)/E52)</f>
        <v/>
      </c>
      <c r="H52" s="3" t="n"/>
      <c r="I52" s="3" t="n"/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Remeras</t>
        </is>
      </c>
      <c r="B53" s="3" t="n">
        <v>25</v>
      </c>
      <c r="C53" s="3" t="n">
        <v>10</v>
      </c>
      <c r="D53" s="6">
        <f>IF(B53=0, "N/A", (C53-B53)/B53)</f>
        <v/>
      </c>
      <c r="E53" s="3" t="n">
        <v>30</v>
      </c>
      <c r="F53" s="3" t="n">
        <v>48</v>
      </c>
      <c r="G53" s="6">
        <f>IF(E53=0, "N/A", (F53-E53)/E53)</f>
        <v/>
      </c>
      <c r="H53" s="3" t="n">
        <v>149</v>
      </c>
      <c r="I53" s="3" t="n">
        <v>125</v>
      </c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Sweaters</t>
        </is>
      </c>
      <c r="B54" s="3" t="n">
        <v>7</v>
      </c>
      <c r="C54" s="3" t="n">
        <v>3</v>
      </c>
      <c r="D54" s="6">
        <f>IF(B54=0, "N/A", (C54-B54)/B54)</f>
        <v/>
      </c>
      <c r="E54" s="3" t="n">
        <v>12</v>
      </c>
      <c r="F54" s="3" t="n">
        <v>2</v>
      </c>
      <c r="G54" s="6">
        <f>IF(E54=0, "N/A", (F54-E54)/E54)</f>
        <v/>
      </c>
      <c r="H54" s="3" t="n">
        <v>21</v>
      </c>
      <c r="I54" s="3" t="n">
        <v>1</v>
      </c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2" t="inlineStr">
        <is>
          <t>Trajes De Baño</t>
        </is>
      </c>
      <c r="B55" s="3" t="n">
        <v>2</v>
      </c>
      <c r="C55" s="3" t="n"/>
      <c r="D55" s="6">
        <f>IF(B55=0, "N/A", (C55-B55)/B55)</f>
        <v/>
      </c>
      <c r="E55" s="3" t="n"/>
      <c r="F55" s="3" t="n"/>
      <c r="G55" s="6">
        <f>IF(E55=0, "N/A", (F55-E55)/E55)</f>
        <v/>
      </c>
      <c r="H55" s="3" t="n"/>
      <c r="I55" s="3" t="n"/>
      <c r="J55" s="6">
        <f>IF(H55=0, "N/A", (I55-H55)/H55)</f>
        <v/>
      </c>
      <c r="K55" s="3">
        <f>B55+E55+H55</f>
        <v/>
      </c>
      <c r="L55" s="3">
        <f>C55+F55+I55</f>
        <v/>
      </c>
      <c r="M55" s="6">
        <f>IF(K55=0, "N/A", (L55-K55)/K55)</f>
        <v/>
      </c>
    </row>
    <row r="56">
      <c r="A56" s="5" t="inlineStr">
        <is>
          <t>Totals</t>
        </is>
      </c>
      <c r="B56" s="4">
        <f>SUM($B32:$B55)</f>
        <v/>
      </c>
      <c r="C56" s="4">
        <f>SUM($C32:$C55)</f>
        <v/>
      </c>
      <c r="D56" s="7">
        <f>IF(B56=0, "N/A", (C56-B56)/B56)</f>
        <v/>
      </c>
      <c r="E56" s="4">
        <f>SUM($E32:$E55)</f>
        <v/>
      </c>
      <c r="F56" s="4">
        <f>SUM($F32:$F55)</f>
        <v/>
      </c>
      <c r="G56" s="7">
        <f>IF(E56=0, "N/A", (F56-E56)/E56)</f>
        <v/>
      </c>
      <c r="H56" s="4">
        <f>SUM($H32:$H55)</f>
        <v/>
      </c>
      <c r="I56" s="4">
        <f>SUM($I32:$I55)</f>
        <v/>
      </c>
      <c r="J56" s="7">
        <f>IF(H56=0, "N/A", (I56-H56)/H56)</f>
        <v/>
      </c>
      <c r="K56" s="4">
        <f>SUM($K32:$K55)</f>
        <v/>
      </c>
      <c r="L56" s="4">
        <f>SUM($L32:$L55)</f>
        <v/>
      </c>
      <c r="M56" s="7">
        <f>IF(K56=0, "N/A", (L56-K56)/K56)</f>
        <v/>
      </c>
    </row>
    <row r="59">
      <c r="A59" s="1" t="inlineStr">
        <is>
          <t>YoY Comparison - Branch Group 2</t>
        </is>
      </c>
    </row>
    <row r="60">
      <c r="B60" s="1" t="inlineStr">
        <is>
          <t>VIRREYES</t>
        </is>
      </c>
      <c r="C60" s="1" t="n"/>
      <c r="D60" s="1" t="n"/>
    </row>
    <row r="61">
      <c r="A61" s="1" t="inlineStr">
        <is>
          <t>Familias</t>
        </is>
      </c>
      <c r="B61" s="1" t="n">
        <v>2025</v>
      </c>
      <c r="C61" s="1" t="n">
        <v>2026</v>
      </c>
      <c r="D61" s="1" t="inlineStr">
        <is>
          <t>%</t>
        </is>
      </c>
    </row>
    <row r="62">
      <c r="A62" s="2" t="inlineStr">
        <is>
          <t>Accesorios</t>
        </is>
      </c>
      <c r="B62" s="3" t="n">
        <v>2</v>
      </c>
      <c r="C62" s="3" t="n"/>
      <c r="D62" s="6">
        <f>IF(B62=0, "N/A", (C62-B62)/B62)</f>
        <v/>
      </c>
    </row>
    <row r="63">
      <c r="A63" s="2" t="inlineStr">
        <is>
          <t>Boxer</t>
        </is>
      </c>
      <c r="B63" s="3" t="n">
        <v>2</v>
      </c>
      <c r="C63" s="3" t="n"/>
      <c r="D63" s="6">
        <f>IF(B63=0, "N/A", (C63-B63)/B63)</f>
        <v/>
      </c>
    </row>
    <row r="64">
      <c r="A64" s="2" t="inlineStr">
        <is>
          <t>Buzo Cuello Redondo</t>
        </is>
      </c>
      <c r="B64" s="3" t="n"/>
      <c r="C64" s="3" t="n">
        <v>1</v>
      </c>
      <c r="D64" s="6">
        <f>IF(B64=0, "N/A", (C64-B64)/B64)</f>
        <v/>
      </c>
    </row>
    <row r="65">
      <c r="A65" s="2" t="inlineStr">
        <is>
          <t>Buzos C Capucha</t>
        </is>
      </c>
      <c r="B65" s="3" t="n">
        <v>3</v>
      </c>
      <c r="C65" s="3" t="n"/>
      <c r="D65" s="6">
        <f>IF(B65=0, "N/A", (C65-B65)/B65)</f>
        <v/>
      </c>
    </row>
    <row r="66">
      <c r="A66" s="2" t="inlineStr">
        <is>
          <t>Buzos C Capucha Orangutan</t>
        </is>
      </c>
      <c r="B66" s="3" t="n"/>
      <c r="C66" s="3" t="n">
        <v>4</v>
      </c>
      <c r="D66" s="6">
        <f>IF(B66=0, "N/A", (C66-B66)/B66)</f>
        <v/>
      </c>
    </row>
    <row r="67">
      <c r="A67" s="2" t="inlineStr">
        <is>
          <t>Buzos C Redondo Orangutan</t>
        </is>
      </c>
      <c r="B67" s="3" t="n"/>
      <c r="C67" s="3" t="n">
        <v>2</v>
      </c>
      <c r="D67" s="6">
        <f>IF(B67=0, "N/A", (C67-B67)/B67)</f>
        <v/>
      </c>
    </row>
    <row r="68">
      <c r="A68" s="2" t="inlineStr">
        <is>
          <t>Buzos Medio Cierre</t>
        </is>
      </c>
      <c r="B68" s="3" t="n">
        <v>1</v>
      </c>
      <c r="C68" s="3" t="n"/>
      <c r="D68" s="6">
        <f>IF(B68=0, "N/A", (C68-B68)/B68)</f>
        <v/>
      </c>
    </row>
    <row r="69">
      <c r="A69" s="2" t="inlineStr">
        <is>
          <t>Camisas</t>
        </is>
      </c>
      <c r="B69" s="3" t="n">
        <v>2</v>
      </c>
      <c r="C69" s="3" t="n"/>
      <c r="D69" s="6">
        <f>IF(B69=0, "N/A", (C69-B69)/B69)</f>
        <v/>
      </c>
    </row>
    <row r="70">
      <c r="A70" s="2" t="inlineStr">
        <is>
          <t>Camperas Capucha</t>
        </is>
      </c>
      <c r="B70" s="3" t="n">
        <v>1</v>
      </c>
      <c r="C70" s="3" t="n"/>
      <c r="D70" s="6">
        <f>IF(B70=0, "N/A", (C70-B70)/B70)</f>
        <v/>
      </c>
    </row>
    <row r="71">
      <c r="A71" s="2" t="inlineStr">
        <is>
          <t>Camperas De Abrigo</t>
        </is>
      </c>
      <c r="B71" s="3" t="n"/>
      <c r="C71" s="3" t="n"/>
      <c r="D71" s="6">
        <f>IF(B71=0, "N/A", (C71-B71)/B71)</f>
        <v/>
      </c>
    </row>
    <row r="72">
      <c r="A72" s="2" t="inlineStr">
        <is>
          <t>Detroit</t>
        </is>
      </c>
      <c r="B72" s="3" t="n"/>
      <c r="C72" s="3" t="n">
        <v>1</v>
      </c>
      <c r="D72" s="6">
        <f>IF(B72=0, "N/A", (C72-B72)/B72)</f>
        <v/>
      </c>
    </row>
    <row r="73">
      <c r="A73" s="2" t="inlineStr">
        <is>
          <t>Jeans</t>
        </is>
      </c>
      <c r="B73" s="3" t="n">
        <v>5</v>
      </c>
      <c r="C73" s="3" t="n">
        <v>4</v>
      </c>
      <c r="D73" s="6">
        <f>IF(B73=0, "N/A", (C73-B73)/B73)</f>
        <v/>
      </c>
    </row>
    <row r="74">
      <c r="A74" s="2" t="inlineStr">
        <is>
          <t>Jogging</t>
        </is>
      </c>
      <c r="B74" s="3" t="n">
        <v>1</v>
      </c>
      <c r="C74" s="3" t="n"/>
      <c r="D74" s="6">
        <f>IF(B74=0, "N/A", (C74-B74)/B74)</f>
        <v/>
      </c>
    </row>
    <row r="75">
      <c r="A75" s="2" t="inlineStr">
        <is>
          <t>Remeras</t>
        </is>
      </c>
      <c r="B75" s="3" t="n">
        <v>20</v>
      </c>
      <c r="C75" s="3" t="n">
        <v>3</v>
      </c>
      <c r="D75" s="6">
        <f>IF(B75=0, "N/A", (C75-B75)/B75)</f>
        <v/>
      </c>
    </row>
    <row r="76">
      <c r="A76" s="2" t="inlineStr">
        <is>
          <t>Sweaters</t>
        </is>
      </c>
      <c r="B76" s="3" t="n">
        <v>1</v>
      </c>
      <c r="C76" s="3" t="n"/>
      <c r="D76" s="6">
        <f>IF(B76=0, "N/A", (C76-B76)/B76)</f>
        <v/>
      </c>
    </row>
    <row r="77">
      <c r="A77" s="5" t="inlineStr">
        <is>
          <t>Totals</t>
        </is>
      </c>
      <c r="B77" s="4">
        <f>SUM($B62:$B76)</f>
        <v/>
      </c>
      <c r="C77" s="4">
        <f>SUM($C62:$C76)</f>
        <v/>
      </c>
      <c r="D77" s="7">
        <f>IF(B77=0, "N/A", (C77-B77)/B77)</f>
        <v/>
      </c>
    </row>
  </sheetData>
  <mergeCells count="8">
    <mergeCell ref="B30:C30"/>
    <mergeCell ref="K30:L30"/>
    <mergeCell ref="E30:F30"/>
    <mergeCell ref="A1:F1"/>
    <mergeCell ref="A59:D59"/>
    <mergeCell ref="B60:C60"/>
    <mergeCell ref="A29:M29"/>
    <mergeCell ref="H30:I3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Sales from January 01, 2026 to August 12, 2026</t>
        </is>
      </c>
    </row>
    <row r="2">
      <c r="A2" s="1" t="inlineStr">
        <is>
          <t>Familias</t>
        </is>
      </c>
      <c r="B2" s="1" t="inlineStr">
        <is>
          <t>LIBERT.R</t>
        </is>
      </c>
      <c r="C2" s="1" t="inlineStr">
        <is>
          <t>PASO.R</t>
        </is>
      </c>
      <c r="D2" s="1" t="inlineStr">
        <is>
          <t>P.OESTE</t>
        </is>
      </c>
      <c r="E2" s="1" t="inlineStr">
        <is>
          <t>VIRREYES</t>
        </is>
      </c>
      <c r="F2" s="1" t="inlineStr">
        <is>
          <t>Totals</t>
        </is>
      </c>
    </row>
    <row r="3">
      <c r="A3" s="2" t="inlineStr">
        <is>
          <t>Accesorios</t>
        </is>
      </c>
      <c r="B3" s="3" t="n">
        <v>165</v>
      </c>
      <c r="C3" s="3" t="n">
        <v>248</v>
      </c>
      <c r="D3" s="3" t="n">
        <v>466</v>
      </c>
      <c r="E3" s="3" t="n">
        <v>12</v>
      </c>
      <c r="F3" s="4">
        <f>B3+C3+D3+E3</f>
        <v/>
      </c>
    </row>
    <row r="4">
      <c r="A4" s="2" t="inlineStr">
        <is>
          <t>Bermudas</t>
        </is>
      </c>
      <c r="B4" s="3" t="n">
        <v>46</v>
      </c>
      <c r="C4" s="3" t="n">
        <v>101</v>
      </c>
      <c r="D4" s="3" t="n">
        <v>250</v>
      </c>
      <c r="E4" s="3" t="n">
        <v>17</v>
      </c>
      <c r="F4" s="4">
        <f>B4+C4+D4+E4</f>
        <v/>
      </c>
    </row>
    <row r="5">
      <c r="A5" s="2" t="inlineStr">
        <is>
          <t>Boxer</t>
        </is>
      </c>
      <c r="B5" s="3" t="n">
        <v>88</v>
      </c>
      <c r="C5" s="3" t="n">
        <v>141</v>
      </c>
      <c r="D5" s="3" t="n">
        <v>615</v>
      </c>
      <c r="E5" s="3" t="n">
        <v>20</v>
      </c>
      <c r="F5" s="4">
        <f>B5+C5+D5+E5</f>
        <v/>
      </c>
    </row>
    <row r="6">
      <c r="A6" s="2" t="inlineStr">
        <is>
          <t>Buzo C Capucha Rustico</t>
        </is>
      </c>
      <c r="B6" s="3" t="n"/>
      <c r="C6" s="3" t="n"/>
      <c r="D6" s="3" t="n">
        <v>14</v>
      </c>
      <c r="E6" s="3" t="n"/>
      <c r="F6" s="4">
        <f>B6+C6+D6+E6</f>
        <v/>
      </c>
    </row>
    <row r="7">
      <c r="A7" s="2" t="inlineStr">
        <is>
          <t>Buzo Cuello Redondo</t>
        </is>
      </c>
      <c r="B7" s="3" t="n">
        <v>222</v>
      </c>
      <c r="C7" s="3" t="n">
        <v>359</v>
      </c>
      <c r="D7" s="3" t="n">
        <v>1117</v>
      </c>
      <c r="E7" s="3" t="n">
        <v>13</v>
      </c>
      <c r="F7" s="4">
        <f>B7+C7+D7+E7</f>
        <v/>
      </c>
    </row>
    <row r="8">
      <c r="A8" s="2" t="inlineStr">
        <is>
          <t>Buzos</t>
        </is>
      </c>
      <c r="B8" s="3" t="n"/>
      <c r="C8" s="3" t="n"/>
      <c r="D8" s="3" t="n">
        <v>3</v>
      </c>
      <c r="E8" s="3" t="n"/>
      <c r="F8" s="4">
        <f>B8+C8+D8+E8</f>
        <v/>
      </c>
    </row>
    <row r="9">
      <c r="A9" s="2" t="inlineStr">
        <is>
          <t>Buzos C Capucha</t>
        </is>
      </c>
      <c r="B9" s="3" t="n">
        <v>206</v>
      </c>
      <c r="C9" s="3" t="n">
        <v>227</v>
      </c>
      <c r="D9" s="3" t="n">
        <v>684</v>
      </c>
      <c r="E9" s="3" t="n">
        <v>33</v>
      </c>
      <c r="F9" s="4">
        <f>B9+C9+D9+E9</f>
        <v/>
      </c>
    </row>
    <row r="10">
      <c r="A10" s="2" t="inlineStr">
        <is>
          <t>Buzos C Capucha Orangutan</t>
        </is>
      </c>
      <c r="B10" s="3" t="n">
        <v>46</v>
      </c>
      <c r="C10" s="3" t="n">
        <v>64</v>
      </c>
      <c r="D10" s="3" t="n">
        <v>250</v>
      </c>
      <c r="E10" s="3" t="n">
        <v>29</v>
      </c>
      <c r="F10" s="4">
        <f>B10+C10+D10+E10</f>
        <v/>
      </c>
    </row>
    <row r="11">
      <c r="A11" s="2" t="inlineStr">
        <is>
          <t>Buzos C Redondo Orangutan</t>
        </is>
      </c>
      <c r="B11" s="3" t="n">
        <v>60</v>
      </c>
      <c r="C11" s="3" t="n">
        <v>80</v>
      </c>
      <c r="D11" s="3" t="n">
        <v>241</v>
      </c>
      <c r="E11" s="3" t="n">
        <v>15</v>
      </c>
      <c r="F11" s="4">
        <f>B11+C11+D11+E11</f>
        <v/>
      </c>
    </row>
    <row r="12">
      <c r="A12" s="2" t="inlineStr">
        <is>
          <t>Buzos Medio Cierre</t>
        </is>
      </c>
      <c r="B12" s="3" t="n">
        <v>70</v>
      </c>
      <c r="C12" s="3" t="n">
        <v>68</v>
      </c>
      <c r="D12" s="3" t="n">
        <v>229</v>
      </c>
      <c r="E12" s="3" t="n"/>
      <c r="F12" s="4">
        <f>B12+C12+D12+E12</f>
        <v/>
      </c>
    </row>
    <row r="13">
      <c r="A13" s="2" t="inlineStr">
        <is>
          <t>Calzado</t>
        </is>
      </c>
      <c r="B13" s="3" t="n">
        <v>15</v>
      </c>
      <c r="C13" s="3" t="n">
        <v>13</v>
      </c>
      <c r="D13" s="3" t="n">
        <v>14</v>
      </c>
      <c r="E13" s="3" t="n">
        <v>2</v>
      </c>
      <c r="F13" s="4">
        <f>B13+C13+D13+E13</f>
        <v/>
      </c>
    </row>
    <row r="14">
      <c r="A14" s="2" t="inlineStr">
        <is>
          <t>Camisas</t>
        </is>
      </c>
      <c r="B14" s="3" t="n">
        <v>32</v>
      </c>
      <c r="C14" s="3" t="n">
        <v>32</v>
      </c>
      <c r="D14" s="3" t="n">
        <v>62</v>
      </c>
      <c r="E14" s="3" t="n"/>
      <c r="F14" s="4">
        <f>B14+C14+D14+E14</f>
        <v/>
      </c>
    </row>
    <row r="15">
      <c r="A15" s="2" t="inlineStr">
        <is>
          <t>Camisetas Manga Larga</t>
        </is>
      </c>
      <c r="B15" s="3" t="n">
        <v>215</v>
      </c>
      <c r="C15" s="3" t="n">
        <v>315</v>
      </c>
      <c r="D15" s="3" t="n">
        <v>372</v>
      </c>
      <c r="E15" s="3" t="n"/>
      <c r="F15" s="4">
        <f>B15+C15+D15+E15</f>
        <v/>
      </c>
    </row>
    <row r="16">
      <c r="A16" s="2" t="inlineStr">
        <is>
          <t>Camisetas Manga Larga Orangutan</t>
        </is>
      </c>
      <c r="B16" s="3" t="n">
        <v>26</v>
      </c>
      <c r="C16" s="3" t="n">
        <v>37</v>
      </c>
      <c r="D16" s="3" t="n">
        <v>289</v>
      </c>
      <c r="E16" s="3" t="n">
        <v>9</v>
      </c>
      <c r="F16" s="4">
        <f>B16+C16+D16+E16</f>
        <v/>
      </c>
    </row>
    <row r="17">
      <c r="A17" s="2" t="inlineStr">
        <is>
          <t>Campera Capucha Rustico</t>
        </is>
      </c>
      <c r="B17" s="3" t="n"/>
      <c r="C17" s="3" t="n"/>
      <c r="D17" s="3" t="n">
        <v>5</v>
      </c>
      <c r="E17" s="3" t="n"/>
      <c r="F17" s="4">
        <f>B17+C17+D17+E17</f>
        <v/>
      </c>
    </row>
    <row r="18">
      <c r="A18" s="2" t="inlineStr">
        <is>
          <t>Campera S Capucha</t>
        </is>
      </c>
      <c r="B18" s="3" t="n">
        <v>12</v>
      </c>
      <c r="C18" s="3" t="n">
        <v>17</v>
      </c>
      <c r="D18" s="3" t="n">
        <v>120</v>
      </c>
      <c r="E18" s="3" t="n">
        <v>1</v>
      </c>
      <c r="F18" s="4">
        <f>B18+C18+D18+E18</f>
        <v/>
      </c>
    </row>
    <row r="19">
      <c r="A19" s="2" t="inlineStr">
        <is>
          <t>Camperas Capucha</t>
        </is>
      </c>
      <c r="B19" s="3" t="n">
        <v>159</v>
      </c>
      <c r="C19" s="3" t="n">
        <v>195</v>
      </c>
      <c r="D19" s="3" t="n">
        <v>522</v>
      </c>
      <c r="E19" s="3" t="n">
        <v>18</v>
      </c>
      <c r="F19" s="4">
        <f>B19+C19+D19+E19</f>
        <v/>
      </c>
    </row>
    <row r="20">
      <c r="A20" s="2" t="inlineStr">
        <is>
          <t>Camperas De Abrigo</t>
        </is>
      </c>
      <c r="B20" s="3" t="n">
        <v>90</v>
      </c>
      <c r="C20" s="3" t="n">
        <v>72</v>
      </c>
      <c r="D20" s="3" t="n">
        <v>199</v>
      </c>
      <c r="E20" s="3" t="n">
        <v>11</v>
      </c>
      <c r="F20" s="4">
        <f>B20+C20+D20+E20</f>
        <v/>
      </c>
    </row>
    <row r="21">
      <c r="A21" s="2" t="inlineStr">
        <is>
          <t>Chombas</t>
        </is>
      </c>
      <c r="B21" s="3" t="n">
        <v>114</v>
      </c>
      <c r="C21" s="3" t="n">
        <v>171</v>
      </c>
      <c r="D21" s="3" t="n">
        <v>238</v>
      </c>
      <c r="E21" s="3" t="n">
        <v>5</v>
      </c>
      <c r="F21" s="4">
        <f>B21+C21+D21+E21</f>
        <v/>
      </c>
    </row>
    <row r="22">
      <c r="A22" s="2" t="inlineStr">
        <is>
          <t>Chombas Manga Larga</t>
        </is>
      </c>
      <c r="B22" s="3" t="n">
        <v>66</v>
      </c>
      <c r="C22" s="3" t="n">
        <v>87</v>
      </c>
      <c r="D22" s="3" t="n">
        <v>18</v>
      </c>
      <c r="E22" s="3" t="n">
        <v>2</v>
      </c>
      <c r="F22" s="4">
        <f>B22+C22+D22+E22</f>
        <v/>
      </c>
    </row>
    <row r="23">
      <c r="A23" s="2" t="inlineStr">
        <is>
          <t>Detroit</t>
        </is>
      </c>
      <c r="B23" s="3" t="n"/>
      <c r="C23" s="3" t="n"/>
      <c r="D23" s="3" t="n"/>
      <c r="E23" s="3" t="n">
        <v>1</v>
      </c>
      <c r="F23" s="4">
        <f>B23+C23+D23+E23</f>
        <v/>
      </c>
    </row>
    <row r="24">
      <c r="A24" s="2" t="inlineStr">
        <is>
          <t>Jeans</t>
        </is>
      </c>
      <c r="B24" s="3" t="n">
        <v>395</v>
      </c>
      <c r="C24" s="3" t="n">
        <v>455</v>
      </c>
      <c r="D24" s="3" t="n">
        <v>1959</v>
      </c>
      <c r="E24" s="3" t="n">
        <v>80</v>
      </c>
      <c r="F24" s="4">
        <f>B24+C24+D24+E24</f>
        <v/>
      </c>
    </row>
    <row r="25">
      <c r="A25" s="2" t="inlineStr">
        <is>
          <t>Jeans De Segunda</t>
        </is>
      </c>
      <c r="B25" s="3" t="n"/>
      <c r="C25" s="3" t="n"/>
      <c r="D25" s="3" t="n"/>
      <c r="E25" s="3" t="n"/>
      <c r="F25" s="4">
        <f>B25+C25+D25+E25</f>
        <v/>
      </c>
    </row>
    <row r="26">
      <c r="A26" s="2" t="inlineStr">
        <is>
          <t>Jogging</t>
        </is>
      </c>
      <c r="B26" s="3" t="n">
        <v>82</v>
      </c>
      <c r="C26" s="3" t="n">
        <v>96</v>
      </c>
      <c r="D26" s="3" t="n">
        <v>444</v>
      </c>
      <c r="E26" s="3" t="n">
        <v>24</v>
      </c>
      <c r="F26" s="4">
        <f>B26+C26+D26+E26</f>
        <v/>
      </c>
    </row>
    <row r="27">
      <c r="A27" s="2" t="inlineStr">
        <is>
          <t>Jogging Corto</t>
        </is>
      </c>
      <c r="B27" s="3" t="n">
        <v>5</v>
      </c>
      <c r="C27" s="3" t="n">
        <v>9</v>
      </c>
      <c r="D27" s="3" t="n">
        <v>14</v>
      </c>
      <c r="E27" s="3" t="n">
        <v>4</v>
      </c>
      <c r="F27" s="4">
        <f>B27+C27+D27+E27</f>
        <v/>
      </c>
    </row>
    <row r="28">
      <c r="A28" s="2" t="inlineStr">
        <is>
          <t>Musculosas</t>
        </is>
      </c>
      <c r="B28" s="3" t="n">
        <v>39</v>
      </c>
      <c r="C28" s="3" t="n">
        <v>21</v>
      </c>
      <c r="D28" s="3" t="n">
        <v>62</v>
      </c>
      <c r="E28" s="3" t="n">
        <v>4</v>
      </c>
      <c r="F28" s="4">
        <f>B28+C28+D28+E28</f>
        <v/>
      </c>
    </row>
    <row r="29">
      <c r="A29" s="2" t="inlineStr">
        <is>
          <t>Other</t>
        </is>
      </c>
      <c r="B29" s="3" t="n"/>
      <c r="C29" s="3" t="n">
        <v>3</v>
      </c>
      <c r="D29" s="3" t="n">
        <v>4</v>
      </c>
      <c r="E29" s="3" t="n">
        <v>2</v>
      </c>
      <c r="F29" s="4">
        <f>B29+C29+D29+E29</f>
        <v/>
      </c>
    </row>
    <row r="30">
      <c r="A30" s="2" t="inlineStr">
        <is>
          <t>Remeras</t>
        </is>
      </c>
      <c r="B30" s="3" t="n">
        <v>964</v>
      </c>
      <c r="C30" s="3" t="n">
        <v>1504</v>
      </c>
      <c r="D30" s="3" t="n">
        <v>2873</v>
      </c>
      <c r="E30" s="3" t="n">
        <v>195</v>
      </c>
      <c r="F30" s="4">
        <f>B30+C30+D30+E30</f>
        <v/>
      </c>
    </row>
    <row r="31">
      <c r="A31" s="2" t="inlineStr">
        <is>
          <t>Sweaters</t>
        </is>
      </c>
      <c r="B31" s="3" t="n">
        <v>112</v>
      </c>
      <c r="C31" s="3" t="n">
        <v>118</v>
      </c>
      <c r="D31" s="3" t="n">
        <v>181</v>
      </c>
      <c r="E31" s="3" t="n">
        <v>3</v>
      </c>
      <c r="F31" s="4">
        <f>B31+C31+D31+E31</f>
        <v/>
      </c>
    </row>
    <row r="32">
      <c r="A32" s="2" t="inlineStr">
        <is>
          <t>Trajes De Baño</t>
        </is>
      </c>
      <c r="B32" s="3" t="n">
        <v>38</v>
      </c>
      <c r="C32" s="3" t="n">
        <v>16</v>
      </c>
      <c r="D32" s="3" t="n">
        <v>133</v>
      </c>
      <c r="E32" s="3" t="n">
        <v>12</v>
      </c>
      <c r="F32" s="4">
        <f>B32+C32+D32+E32</f>
        <v/>
      </c>
    </row>
    <row r="33">
      <c r="A33" s="5" t="inlineStr">
        <is>
          <t>Totals</t>
        </is>
      </c>
      <c r="B33" s="4">
        <f>SUM($B$3:$B$32)</f>
        <v/>
      </c>
      <c r="C33" s="4">
        <f>SUM($C$3:$C$32)</f>
        <v/>
      </c>
      <c r="D33" s="4">
        <f>SUM($D$3:$D$32)</f>
        <v/>
      </c>
      <c r="E33" s="4">
        <f>SUM($E$3:$E$32)</f>
        <v/>
      </c>
      <c r="F33" s="4">
        <f>SUM($F$3:$F$32)</f>
        <v/>
      </c>
    </row>
    <row r="36">
      <c r="A36" s="1" t="inlineStr">
        <is>
          <t>YoY Comparison - Branch Group 1</t>
        </is>
      </c>
    </row>
    <row r="37">
      <c r="B37" s="1" t="inlineStr">
        <is>
          <t>LIBERT.R</t>
        </is>
      </c>
      <c r="C37" s="1" t="n"/>
      <c r="D37" s="1" t="n"/>
      <c r="E37" s="1" t="inlineStr">
        <is>
          <t>PASO.R</t>
        </is>
      </c>
      <c r="F37" s="1" t="n"/>
      <c r="G37" s="1" t="n"/>
      <c r="H37" s="1" t="inlineStr">
        <is>
          <t>P.OESTE</t>
        </is>
      </c>
      <c r="I37" s="1" t="n"/>
      <c r="J37" s="1" t="n"/>
      <c r="K37" s="1" t="inlineStr">
        <is>
          <t>Global</t>
        </is>
      </c>
      <c r="L37" s="1" t="n"/>
      <c r="M37" s="1" t="n"/>
    </row>
    <row r="38">
      <c r="A38" s="1" t="inlineStr">
        <is>
          <t>Familias</t>
        </is>
      </c>
      <c r="B38" s="1" t="n">
        <v>2025</v>
      </c>
      <c r="C38" s="1" t="n">
        <v>2026</v>
      </c>
      <c r="D38" s="1" t="inlineStr">
        <is>
          <t>%</t>
        </is>
      </c>
      <c r="E38" s="1" t="n">
        <v>2025</v>
      </c>
      <c r="F38" s="1" t="n">
        <v>2026</v>
      </c>
      <c r="G38" s="1" t="inlineStr">
        <is>
          <t>%</t>
        </is>
      </c>
      <c r="H38" s="1" t="n">
        <v>2025</v>
      </c>
      <c r="I38" s="1" t="n">
        <v>2026</v>
      </c>
      <c r="J38" s="1" t="inlineStr">
        <is>
          <t>%</t>
        </is>
      </c>
      <c r="K38" s="1" t="n">
        <v>2025</v>
      </c>
      <c r="L38" s="1" t="n">
        <v>2026</v>
      </c>
      <c r="M38" s="1" t="inlineStr">
        <is>
          <t>%</t>
        </is>
      </c>
    </row>
    <row r="39">
      <c r="A39" s="2" t="inlineStr">
        <is>
          <t>Accesorios</t>
        </is>
      </c>
      <c r="B39" s="3" t="n">
        <v>274</v>
      </c>
      <c r="C39" s="3" t="n">
        <v>165</v>
      </c>
      <c r="D39" s="6">
        <f>IF(B39=0, "N/A", (C39-B39)/B39)</f>
        <v/>
      </c>
      <c r="E39" s="3" t="n">
        <v>258</v>
      </c>
      <c r="F39" s="3" t="n">
        <v>248</v>
      </c>
      <c r="G39" s="6">
        <f>IF(E39=0, "N/A", (F39-E39)/E39)</f>
        <v/>
      </c>
      <c r="H39" s="3" t="n">
        <v>639</v>
      </c>
      <c r="I39" s="3" t="n">
        <v>466</v>
      </c>
      <c r="J39" s="6">
        <f>IF(H39=0, "N/A", (I39-H39)/H39)</f>
        <v/>
      </c>
      <c r="K39" s="3">
        <f>B39+E39+H39</f>
        <v/>
      </c>
      <c r="L39" s="3">
        <f>C39+F39+I39</f>
        <v/>
      </c>
      <c r="M39" s="6">
        <f>IF(K39=0, "N/A", (L39-K39)/K39)</f>
        <v/>
      </c>
    </row>
    <row r="40">
      <c r="A40" s="2" t="inlineStr">
        <is>
          <t>Bermudas</t>
        </is>
      </c>
      <c r="B40" s="3" t="n">
        <v>93</v>
      </c>
      <c r="C40" s="3" t="n">
        <v>46</v>
      </c>
      <c r="D40" s="6">
        <f>IF(B40=0, "N/A", (C40-B40)/B40)</f>
        <v/>
      </c>
      <c r="E40" s="3" t="n">
        <v>140</v>
      </c>
      <c r="F40" s="3" t="n">
        <v>101</v>
      </c>
      <c r="G40" s="6">
        <f>IF(E40=0, "N/A", (F40-E40)/E40)</f>
        <v/>
      </c>
      <c r="H40" s="3" t="n">
        <v>238</v>
      </c>
      <c r="I40" s="3" t="n">
        <v>250</v>
      </c>
      <c r="J40" s="6">
        <f>IF(H40=0, "N/A", (I40-H40)/H40)</f>
        <v/>
      </c>
      <c r="K40" s="3">
        <f>B40+E40+H40</f>
        <v/>
      </c>
      <c r="L40" s="3">
        <f>C40+F40+I40</f>
        <v/>
      </c>
      <c r="M40" s="6">
        <f>IF(K40=0, "N/A", (L40-K40)/K40)</f>
        <v/>
      </c>
    </row>
    <row r="41">
      <c r="A41" s="2" t="inlineStr">
        <is>
          <t>Boxer</t>
        </is>
      </c>
      <c r="B41" s="3" t="n">
        <v>105</v>
      </c>
      <c r="C41" s="3" t="n">
        <v>88</v>
      </c>
      <c r="D41" s="6">
        <f>IF(B41=0, "N/A", (C41-B41)/B41)</f>
        <v/>
      </c>
      <c r="E41" s="3" t="n">
        <v>160</v>
      </c>
      <c r="F41" s="3" t="n">
        <v>141</v>
      </c>
      <c r="G41" s="6">
        <f>IF(E41=0, "N/A", (F41-E41)/E41)</f>
        <v/>
      </c>
      <c r="H41" s="3" t="n">
        <v>520</v>
      </c>
      <c r="I41" s="3" t="n">
        <v>615</v>
      </c>
      <c r="J41" s="6">
        <f>IF(H41=0, "N/A", (I41-H41)/H41)</f>
        <v/>
      </c>
      <c r="K41" s="3">
        <f>B41+E41+H41</f>
        <v/>
      </c>
      <c r="L41" s="3">
        <f>C41+F41+I41</f>
        <v/>
      </c>
      <c r="M41" s="6">
        <f>IF(K41=0, "N/A", (L41-K41)/K41)</f>
        <v/>
      </c>
    </row>
    <row r="42">
      <c r="A42" s="2" t="inlineStr">
        <is>
          <t>Buzo C Capucha Rustico</t>
        </is>
      </c>
      <c r="B42" s="3" t="n"/>
      <c r="C42" s="3" t="n"/>
      <c r="D42" s="6">
        <f>IF(B42=0, "N/A", (C42-B42)/B42)</f>
        <v/>
      </c>
      <c r="E42" s="3" t="n"/>
      <c r="F42" s="3" t="n"/>
      <c r="G42" s="6">
        <f>IF(E42=0, "N/A", (F42-E42)/E42)</f>
        <v/>
      </c>
      <c r="H42" s="3" t="n"/>
      <c r="I42" s="3" t="n">
        <v>14</v>
      </c>
      <c r="J42" s="6">
        <f>IF(H42=0, "N/A", (I42-H42)/H42)</f>
        <v/>
      </c>
      <c r="K42" s="3">
        <f>B42+E42+H42</f>
        <v/>
      </c>
      <c r="L42" s="3">
        <f>C42+F42+I42</f>
        <v/>
      </c>
      <c r="M42" s="6">
        <f>IF(K42=0, "N/A", (L42-K42)/K42)</f>
        <v/>
      </c>
    </row>
    <row r="43">
      <c r="A43" s="2" t="inlineStr">
        <is>
          <t>Buzo Cuello Redondo</t>
        </is>
      </c>
      <c r="B43" s="3" t="n">
        <v>374</v>
      </c>
      <c r="C43" s="3" t="n">
        <v>222</v>
      </c>
      <c r="D43" s="6">
        <f>IF(B43=0, "N/A", (C43-B43)/B43)</f>
        <v/>
      </c>
      <c r="E43" s="3" t="n">
        <v>499</v>
      </c>
      <c r="F43" s="3" t="n">
        <v>359</v>
      </c>
      <c r="G43" s="6">
        <f>IF(E43=0, "N/A", (F43-E43)/E43)</f>
        <v/>
      </c>
      <c r="H43" s="3" t="n">
        <v>991</v>
      </c>
      <c r="I43" s="3" t="n">
        <v>1117</v>
      </c>
      <c r="J43" s="6">
        <f>IF(H43=0, "N/A", (I43-H43)/H43)</f>
        <v/>
      </c>
      <c r="K43" s="3">
        <f>B43+E43+H43</f>
        <v/>
      </c>
      <c r="L43" s="3">
        <f>C43+F43+I43</f>
        <v/>
      </c>
      <c r="M43" s="6">
        <f>IF(K43=0, "N/A", (L43-K43)/K43)</f>
        <v/>
      </c>
    </row>
    <row r="44">
      <c r="A44" s="2" t="inlineStr">
        <is>
          <t>Buzos</t>
        </is>
      </c>
      <c r="B44" s="3" t="n">
        <v>8</v>
      </c>
      <c r="C44" s="3" t="n"/>
      <c r="D44" s="6">
        <f>IF(B44=0, "N/A", (C44-B44)/B44)</f>
        <v/>
      </c>
      <c r="E44" s="3" t="n">
        <v>2</v>
      </c>
      <c r="F44" s="3" t="n"/>
      <c r="G44" s="6">
        <f>IF(E44=0, "N/A", (F44-E44)/E44)</f>
        <v/>
      </c>
      <c r="H44" s="3" t="n">
        <v>7</v>
      </c>
      <c r="I44" s="3" t="n">
        <v>3</v>
      </c>
      <c r="J44" s="6">
        <f>IF(H44=0, "N/A", (I44-H44)/H44)</f>
        <v/>
      </c>
      <c r="K44" s="3">
        <f>B44+E44+H44</f>
        <v/>
      </c>
      <c r="L44" s="3">
        <f>C44+F44+I44</f>
        <v/>
      </c>
      <c r="M44" s="6">
        <f>IF(K44=0, "N/A", (L44-K44)/K44)</f>
        <v/>
      </c>
    </row>
    <row r="45">
      <c r="A45" s="2" t="inlineStr">
        <is>
          <t>Buzos C Capucha</t>
        </is>
      </c>
      <c r="B45" s="3" t="n">
        <v>337</v>
      </c>
      <c r="C45" s="3" t="n">
        <v>206</v>
      </c>
      <c r="D45" s="6">
        <f>IF(B45=0, "N/A", (C45-B45)/B45)</f>
        <v/>
      </c>
      <c r="E45" s="3" t="n">
        <v>337</v>
      </c>
      <c r="F45" s="3" t="n">
        <v>227</v>
      </c>
      <c r="G45" s="6">
        <f>IF(E45=0, "N/A", (F45-E45)/E45)</f>
        <v/>
      </c>
      <c r="H45" s="3" t="n">
        <v>1039</v>
      </c>
      <c r="I45" s="3" t="n">
        <v>684</v>
      </c>
      <c r="J45" s="6">
        <f>IF(H45=0, "N/A", (I45-H45)/H45)</f>
        <v/>
      </c>
      <c r="K45" s="3">
        <f>B45+E45+H45</f>
        <v/>
      </c>
      <c r="L45" s="3">
        <f>C45+F45+I45</f>
        <v/>
      </c>
      <c r="M45" s="6">
        <f>IF(K45=0, "N/A", (L45-K45)/K45)</f>
        <v/>
      </c>
    </row>
    <row r="46">
      <c r="A46" s="2" t="inlineStr">
        <is>
          <t>Buzos C Capucha Orangutan</t>
        </is>
      </c>
      <c r="B46" s="3" t="n"/>
      <c r="C46" s="3" t="n">
        <v>46</v>
      </c>
      <c r="D46" s="6">
        <f>IF(B46=0, "N/A", (C46-B46)/B46)</f>
        <v/>
      </c>
      <c r="E46" s="3" t="n"/>
      <c r="F46" s="3" t="n">
        <v>64</v>
      </c>
      <c r="G46" s="6">
        <f>IF(E46=0, "N/A", (F46-E46)/E46)</f>
        <v/>
      </c>
      <c r="H46" s="3" t="n"/>
      <c r="I46" s="3" t="n">
        <v>250</v>
      </c>
      <c r="J46" s="6">
        <f>IF(H46=0, "N/A", (I46-H46)/H46)</f>
        <v/>
      </c>
      <c r="K46" s="3">
        <f>B46+E46+H46</f>
        <v/>
      </c>
      <c r="L46" s="3">
        <f>C46+F46+I46</f>
        <v/>
      </c>
      <c r="M46" s="6">
        <f>IF(K46=0, "N/A", (L46-K46)/K46)</f>
        <v/>
      </c>
    </row>
    <row r="47">
      <c r="A47" s="2" t="inlineStr">
        <is>
          <t>Buzos C Redondo Orangutan</t>
        </is>
      </c>
      <c r="B47" s="3" t="n"/>
      <c r="C47" s="3" t="n">
        <v>60</v>
      </c>
      <c r="D47" s="6">
        <f>IF(B47=0, "N/A", (C47-B47)/B47)</f>
        <v/>
      </c>
      <c r="E47" s="3" t="n"/>
      <c r="F47" s="3" t="n">
        <v>80</v>
      </c>
      <c r="G47" s="6">
        <f>IF(E47=0, "N/A", (F47-E47)/E47)</f>
        <v/>
      </c>
      <c r="H47" s="3" t="n"/>
      <c r="I47" s="3" t="n">
        <v>241</v>
      </c>
      <c r="J47" s="6">
        <f>IF(H47=0, "N/A", (I47-H47)/H47)</f>
        <v/>
      </c>
      <c r="K47" s="3">
        <f>B47+E47+H47</f>
        <v/>
      </c>
      <c r="L47" s="3">
        <f>C47+F47+I47</f>
        <v/>
      </c>
      <c r="M47" s="6">
        <f>IF(K47=0, "N/A", (L47-K47)/K47)</f>
        <v/>
      </c>
    </row>
    <row r="48">
      <c r="A48" s="2" t="inlineStr">
        <is>
          <t>Buzos Medio Cierre</t>
        </is>
      </c>
      <c r="B48" s="3" t="n">
        <v>39</v>
      </c>
      <c r="C48" s="3" t="n">
        <v>70</v>
      </c>
      <c r="D48" s="6">
        <f>IF(B48=0, "N/A", (C48-B48)/B48)</f>
        <v/>
      </c>
      <c r="E48" s="3" t="n">
        <v>35</v>
      </c>
      <c r="F48" s="3" t="n">
        <v>68</v>
      </c>
      <c r="G48" s="6">
        <f>IF(E48=0, "N/A", (F48-E48)/E48)</f>
        <v/>
      </c>
      <c r="H48" s="3" t="n">
        <v>351</v>
      </c>
      <c r="I48" s="3" t="n">
        <v>229</v>
      </c>
      <c r="J48" s="6">
        <f>IF(H48=0, "N/A", (I48-H48)/H48)</f>
        <v/>
      </c>
      <c r="K48" s="3">
        <f>B48+E48+H48</f>
        <v/>
      </c>
      <c r="L48" s="3">
        <f>C48+F48+I48</f>
        <v/>
      </c>
      <c r="M48" s="6">
        <f>IF(K48=0, "N/A", (L48-K48)/K48)</f>
        <v/>
      </c>
    </row>
    <row r="49">
      <c r="A49" s="2" t="inlineStr">
        <is>
          <t>Calzado</t>
        </is>
      </c>
      <c r="B49" s="3" t="n">
        <v>29</v>
      </c>
      <c r="C49" s="3" t="n">
        <v>15</v>
      </c>
      <c r="D49" s="6">
        <f>IF(B49=0, "N/A", (C49-B49)/B49)</f>
        <v/>
      </c>
      <c r="E49" s="3" t="n">
        <v>25</v>
      </c>
      <c r="F49" s="3" t="n">
        <v>13</v>
      </c>
      <c r="G49" s="6">
        <f>IF(E49=0, "N/A", (F49-E49)/E49)</f>
        <v/>
      </c>
      <c r="H49" s="3" t="n">
        <v>42</v>
      </c>
      <c r="I49" s="3" t="n">
        <v>14</v>
      </c>
      <c r="J49" s="6">
        <f>IF(H49=0, "N/A", (I49-H49)/H49)</f>
        <v/>
      </c>
      <c r="K49" s="3">
        <f>B49+E49+H49</f>
        <v/>
      </c>
      <c r="L49" s="3">
        <f>C49+F49+I49</f>
        <v/>
      </c>
      <c r="M49" s="6">
        <f>IF(K49=0, "N/A", (L49-K49)/K49)</f>
        <v/>
      </c>
    </row>
    <row r="50">
      <c r="A50" s="2" t="inlineStr">
        <is>
          <t>Camisas</t>
        </is>
      </c>
      <c r="B50" s="3" t="n">
        <v>51</v>
      </c>
      <c r="C50" s="3" t="n">
        <v>32</v>
      </c>
      <c r="D50" s="6">
        <f>IF(B50=0, "N/A", (C50-B50)/B50)</f>
        <v/>
      </c>
      <c r="E50" s="3" t="n">
        <v>32</v>
      </c>
      <c r="F50" s="3" t="n">
        <v>32</v>
      </c>
      <c r="G50" s="6">
        <f>IF(E50=0, "N/A", (F50-E50)/E50)</f>
        <v/>
      </c>
      <c r="H50" s="3" t="n">
        <v>89</v>
      </c>
      <c r="I50" s="3" t="n">
        <v>62</v>
      </c>
      <c r="J50" s="6">
        <f>IF(H50=0, "N/A", (I50-H50)/H50)</f>
        <v/>
      </c>
      <c r="K50" s="3">
        <f>B50+E50+H50</f>
        <v/>
      </c>
      <c r="L50" s="3">
        <f>C50+F50+I50</f>
        <v/>
      </c>
      <c r="M50" s="6">
        <f>IF(K50=0, "N/A", (L50-K50)/K50)</f>
        <v/>
      </c>
    </row>
    <row r="51">
      <c r="A51" s="2" t="inlineStr">
        <is>
          <t>Camisetas Manga Larga</t>
        </is>
      </c>
      <c r="B51" s="3" t="n">
        <v>279</v>
      </c>
      <c r="C51" s="3" t="n">
        <v>215</v>
      </c>
      <c r="D51" s="6">
        <f>IF(B51=0, "N/A", (C51-B51)/B51)</f>
        <v/>
      </c>
      <c r="E51" s="3" t="n">
        <v>406</v>
      </c>
      <c r="F51" s="3" t="n">
        <v>315</v>
      </c>
      <c r="G51" s="6">
        <f>IF(E51=0, "N/A", (F51-E51)/E51)</f>
        <v/>
      </c>
      <c r="H51" s="3" t="n">
        <v>426</v>
      </c>
      <c r="I51" s="3" t="n">
        <v>372</v>
      </c>
      <c r="J51" s="6">
        <f>IF(H51=0, "N/A", (I51-H51)/H51)</f>
        <v/>
      </c>
      <c r="K51" s="3">
        <f>B51+E51+H51</f>
        <v/>
      </c>
      <c r="L51" s="3">
        <f>C51+F51+I51</f>
        <v/>
      </c>
      <c r="M51" s="6">
        <f>IF(K51=0, "N/A", (L51-K51)/K51)</f>
        <v/>
      </c>
    </row>
    <row r="52">
      <c r="A52" s="2" t="inlineStr">
        <is>
          <t>Camisetas Manga Larga Orangutan</t>
        </is>
      </c>
      <c r="B52" s="3" t="n"/>
      <c r="C52" s="3" t="n">
        <v>26</v>
      </c>
      <c r="D52" s="6">
        <f>IF(B52=0, "N/A", (C52-B52)/B52)</f>
        <v/>
      </c>
      <c r="E52" s="3" t="n"/>
      <c r="F52" s="3" t="n">
        <v>37</v>
      </c>
      <c r="G52" s="6">
        <f>IF(E52=0, "N/A", (F52-E52)/E52)</f>
        <v/>
      </c>
      <c r="H52" s="3" t="n"/>
      <c r="I52" s="3" t="n">
        <v>289</v>
      </c>
      <c r="J52" s="6">
        <f>IF(H52=0, "N/A", (I52-H52)/H52)</f>
        <v/>
      </c>
      <c r="K52" s="3">
        <f>B52+E52+H52</f>
        <v/>
      </c>
      <c r="L52" s="3">
        <f>C52+F52+I52</f>
        <v/>
      </c>
      <c r="M52" s="6">
        <f>IF(K52=0, "N/A", (L52-K52)/K52)</f>
        <v/>
      </c>
    </row>
    <row r="53">
      <c r="A53" s="2" t="inlineStr">
        <is>
          <t>Campera Capucha Rustico</t>
        </is>
      </c>
      <c r="B53" s="3" t="n"/>
      <c r="C53" s="3" t="n"/>
      <c r="D53" s="6">
        <f>IF(B53=0, "N/A", (C53-B53)/B53)</f>
        <v/>
      </c>
      <c r="E53" s="3" t="n"/>
      <c r="F53" s="3" t="n"/>
      <c r="G53" s="6">
        <f>IF(E53=0, "N/A", (F53-E53)/E53)</f>
        <v/>
      </c>
      <c r="H53" s="3" t="n"/>
      <c r="I53" s="3" t="n">
        <v>5</v>
      </c>
      <c r="J53" s="6">
        <f>IF(H53=0, "N/A", (I53-H53)/H53)</f>
        <v/>
      </c>
      <c r="K53" s="3">
        <f>B53+E53+H53</f>
        <v/>
      </c>
      <c r="L53" s="3">
        <f>C53+F53+I53</f>
        <v/>
      </c>
      <c r="M53" s="6">
        <f>IF(K53=0, "N/A", (L53-K53)/K53)</f>
        <v/>
      </c>
    </row>
    <row r="54">
      <c r="A54" s="2" t="inlineStr">
        <is>
          <t>Campera S Capucha</t>
        </is>
      </c>
      <c r="B54" s="3" t="n">
        <v>80</v>
      </c>
      <c r="C54" s="3" t="n">
        <v>12</v>
      </c>
      <c r="D54" s="6">
        <f>IF(B54=0, "N/A", (C54-B54)/B54)</f>
        <v/>
      </c>
      <c r="E54" s="3" t="n">
        <v>123</v>
      </c>
      <c r="F54" s="3" t="n">
        <v>17</v>
      </c>
      <c r="G54" s="6">
        <f>IF(E54=0, "N/A", (F54-E54)/E54)</f>
        <v/>
      </c>
      <c r="H54" s="3" t="n">
        <v>252</v>
      </c>
      <c r="I54" s="3" t="n">
        <v>120</v>
      </c>
      <c r="J54" s="6">
        <f>IF(H54=0, "N/A", (I54-H54)/H54)</f>
        <v/>
      </c>
      <c r="K54" s="3">
        <f>B54+E54+H54</f>
        <v/>
      </c>
      <c r="L54" s="3">
        <f>C54+F54+I54</f>
        <v/>
      </c>
      <c r="M54" s="6">
        <f>IF(K54=0, "N/A", (L54-K54)/K54)</f>
        <v/>
      </c>
    </row>
    <row r="55">
      <c r="A55" s="2" t="inlineStr">
        <is>
          <t>Camperas Capucha</t>
        </is>
      </c>
      <c r="B55" s="3" t="n">
        <v>92</v>
      </c>
      <c r="C55" s="3" t="n">
        <v>159</v>
      </c>
      <c r="D55" s="6">
        <f>IF(B55=0, "N/A", (C55-B55)/B55)</f>
        <v/>
      </c>
      <c r="E55" s="3" t="n">
        <v>84</v>
      </c>
      <c r="F55" s="3" t="n">
        <v>195</v>
      </c>
      <c r="G55" s="6">
        <f>IF(E55=0, "N/A", (F55-E55)/E55)</f>
        <v/>
      </c>
      <c r="H55" s="3" t="n">
        <v>579</v>
      </c>
      <c r="I55" s="3" t="n">
        <v>522</v>
      </c>
      <c r="J55" s="6">
        <f>IF(H55=0, "N/A", (I55-H55)/H55)</f>
        <v/>
      </c>
      <c r="K55" s="3">
        <f>B55+E55+H55</f>
        <v/>
      </c>
      <c r="L55" s="3">
        <f>C55+F55+I55</f>
        <v/>
      </c>
      <c r="M55" s="6">
        <f>IF(K55=0, "N/A", (L55-K55)/K55)</f>
        <v/>
      </c>
    </row>
    <row r="56">
      <c r="A56" s="2" t="inlineStr">
        <is>
          <t>Camperas De Abrigo</t>
        </is>
      </c>
      <c r="B56" s="3" t="n">
        <v>101</v>
      </c>
      <c r="C56" s="3" t="n">
        <v>90</v>
      </c>
      <c r="D56" s="6">
        <f>IF(B56=0, "N/A", (C56-B56)/B56)</f>
        <v/>
      </c>
      <c r="E56" s="3" t="n">
        <v>93</v>
      </c>
      <c r="F56" s="3" t="n">
        <v>72</v>
      </c>
      <c r="G56" s="6">
        <f>IF(E56=0, "N/A", (F56-E56)/E56)</f>
        <v/>
      </c>
      <c r="H56" s="3" t="n">
        <v>148</v>
      </c>
      <c r="I56" s="3" t="n">
        <v>199</v>
      </c>
      <c r="J56" s="6">
        <f>IF(H56=0, "N/A", (I56-H56)/H56)</f>
        <v/>
      </c>
      <c r="K56" s="3">
        <f>B56+E56+H56</f>
        <v/>
      </c>
      <c r="L56" s="3">
        <f>C56+F56+I56</f>
        <v/>
      </c>
      <c r="M56" s="6">
        <f>IF(K56=0, "N/A", (L56-K56)/K56)</f>
        <v/>
      </c>
    </row>
    <row r="57">
      <c r="A57" s="2" t="inlineStr">
        <is>
          <t>Chombas</t>
        </is>
      </c>
      <c r="B57" s="3" t="n">
        <v>208</v>
      </c>
      <c r="C57" s="3" t="n">
        <v>114</v>
      </c>
      <c r="D57" s="6">
        <f>IF(B57=0, "N/A", (C57-B57)/B57)</f>
        <v/>
      </c>
      <c r="E57" s="3" t="n">
        <v>216</v>
      </c>
      <c r="F57" s="3" t="n">
        <v>171</v>
      </c>
      <c r="G57" s="6">
        <f>IF(E57=0, "N/A", (F57-E57)/E57)</f>
        <v/>
      </c>
      <c r="H57" s="3" t="n">
        <v>186</v>
      </c>
      <c r="I57" s="3" t="n">
        <v>238</v>
      </c>
      <c r="J57" s="6">
        <f>IF(H57=0, "N/A", (I57-H57)/H57)</f>
        <v/>
      </c>
      <c r="K57" s="3">
        <f>B57+E57+H57</f>
        <v/>
      </c>
      <c r="L57" s="3">
        <f>C57+F57+I57</f>
        <v/>
      </c>
      <c r="M57" s="6">
        <f>IF(K57=0, "N/A", (L57-K57)/K57)</f>
        <v/>
      </c>
    </row>
    <row r="58">
      <c r="A58" s="2" t="inlineStr">
        <is>
          <t>Chombas Manga Larga</t>
        </is>
      </c>
      <c r="B58" s="3" t="n">
        <v>3</v>
      </c>
      <c r="C58" s="3" t="n">
        <v>66</v>
      </c>
      <c r="D58" s="6">
        <f>IF(B58=0, "N/A", (C58-B58)/B58)</f>
        <v/>
      </c>
      <c r="E58" s="3" t="n">
        <v>2</v>
      </c>
      <c r="F58" s="3" t="n">
        <v>87</v>
      </c>
      <c r="G58" s="6">
        <f>IF(E58=0, "N/A", (F58-E58)/E58)</f>
        <v/>
      </c>
      <c r="H58" s="3" t="n">
        <v>37</v>
      </c>
      <c r="I58" s="3" t="n">
        <v>18</v>
      </c>
      <c r="J58" s="6">
        <f>IF(H58=0, "N/A", (I58-H58)/H58)</f>
        <v/>
      </c>
      <c r="K58" s="3">
        <f>B58+E58+H58</f>
        <v/>
      </c>
      <c r="L58" s="3">
        <f>C58+F58+I58</f>
        <v/>
      </c>
      <c r="M58" s="6">
        <f>IF(K58=0, "N/A", (L58-K58)/K58)</f>
        <v/>
      </c>
    </row>
    <row r="59">
      <c r="A59" s="2" t="inlineStr">
        <is>
          <t>Jeans</t>
        </is>
      </c>
      <c r="B59" s="3" t="n">
        <v>357</v>
      </c>
      <c r="C59" s="3" t="n">
        <v>395</v>
      </c>
      <c r="D59" s="6">
        <f>IF(B59=0, "N/A", (C59-B59)/B59)</f>
        <v/>
      </c>
      <c r="E59" s="3" t="n">
        <v>557</v>
      </c>
      <c r="F59" s="3" t="n">
        <v>455</v>
      </c>
      <c r="G59" s="6">
        <f>IF(E59=0, "N/A", (F59-E59)/E59)</f>
        <v/>
      </c>
      <c r="H59" s="3" t="n">
        <v>1429</v>
      </c>
      <c r="I59" s="3" t="n">
        <v>1959</v>
      </c>
      <c r="J59" s="6">
        <f>IF(H59=0, "N/A", (I59-H59)/H59)</f>
        <v/>
      </c>
      <c r="K59" s="3">
        <f>B59+E59+H59</f>
        <v/>
      </c>
      <c r="L59" s="3">
        <f>C59+F59+I59</f>
        <v/>
      </c>
      <c r="M59" s="6">
        <f>IF(K59=0, "N/A", (L59-K59)/K59)</f>
        <v/>
      </c>
    </row>
    <row r="60">
      <c r="A60" s="2" t="inlineStr">
        <is>
          <t>Jeans De Segunda</t>
        </is>
      </c>
      <c r="B60" s="3" t="n"/>
      <c r="C60" s="3" t="n"/>
      <c r="D60" s="6">
        <f>IF(B60=0, "N/A", (C60-B60)/B60)</f>
        <v/>
      </c>
      <c r="E60" s="3" t="n"/>
      <c r="F60" s="3" t="n"/>
      <c r="G60" s="6">
        <f>IF(E60=0, "N/A", (F60-E60)/E60)</f>
        <v/>
      </c>
      <c r="H60" s="3" t="n"/>
      <c r="I60" s="3" t="n"/>
      <c r="J60" s="6">
        <f>IF(H60=0, "N/A", (I60-H60)/H60)</f>
        <v/>
      </c>
      <c r="K60" s="3">
        <f>B60+E60+H60</f>
        <v/>
      </c>
      <c r="L60" s="3">
        <f>C60+F60+I60</f>
        <v/>
      </c>
      <c r="M60" s="6">
        <f>IF(K60=0, "N/A", (L60-K60)/K60)</f>
        <v/>
      </c>
    </row>
    <row r="61">
      <c r="A61" s="2" t="inlineStr">
        <is>
          <t>Jogging</t>
        </is>
      </c>
      <c r="B61" s="3" t="n">
        <v>141</v>
      </c>
      <c r="C61" s="3" t="n">
        <v>82</v>
      </c>
      <c r="D61" s="6">
        <f>IF(B61=0, "N/A", (C61-B61)/B61)</f>
        <v/>
      </c>
      <c r="E61" s="3" t="n">
        <v>124</v>
      </c>
      <c r="F61" s="3" t="n">
        <v>96</v>
      </c>
      <c r="G61" s="6">
        <f>IF(E61=0, "N/A", (F61-E61)/E61)</f>
        <v/>
      </c>
      <c r="H61" s="3" t="n">
        <v>458</v>
      </c>
      <c r="I61" s="3" t="n">
        <v>444</v>
      </c>
      <c r="J61" s="6">
        <f>IF(H61=0, "N/A", (I61-H61)/H61)</f>
        <v/>
      </c>
      <c r="K61" s="3">
        <f>B61+E61+H61</f>
        <v/>
      </c>
      <c r="L61" s="3">
        <f>C61+F61+I61</f>
        <v/>
      </c>
      <c r="M61" s="6">
        <f>IF(K61=0, "N/A", (L61-K61)/K61)</f>
        <v/>
      </c>
    </row>
    <row r="62">
      <c r="A62" s="2" t="inlineStr">
        <is>
          <t>Jogging Corto</t>
        </is>
      </c>
      <c r="B62" s="3" t="n"/>
      <c r="C62" s="3" t="n">
        <v>5</v>
      </c>
      <c r="D62" s="6">
        <f>IF(B62=0, "N/A", (C62-B62)/B62)</f>
        <v/>
      </c>
      <c r="E62" s="3" t="n"/>
      <c r="F62" s="3" t="n">
        <v>9</v>
      </c>
      <c r="G62" s="6">
        <f>IF(E62=0, "N/A", (F62-E62)/E62)</f>
        <v/>
      </c>
      <c r="H62" s="3" t="n">
        <v>4</v>
      </c>
      <c r="I62" s="3" t="n">
        <v>14</v>
      </c>
      <c r="J62" s="6">
        <f>IF(H62=0, "N/A", (I62-H62)/H62)</f>
        <v/>
      </c>
      <c r="K62" s="3">
        <f>B62+E62+H62</f>
        <v/>
      </c>
      <c r="L62" s="3">
        <f>C62+F62+I62</f>
        <v/>
      </c>
      <c r="M62" s="6">
        <f>IF(K62=0, "N/A", (L62-K62)/K62)</f>
        <v/>
      </c>
    </row>
    <row r="63">
      <c r="A63" s="2" t="inlineStr">
        <is>
          <t>Musculosas</t>
        </is>
      </c>
      <c r="B63" s="3" t="n">
        <v>85</v>
      </c>
      <c r="C63" s="3" t="n">
        <v>39</v>
      </c>
      <c r="D63" s="6">
        <f>IF(B63=0, "N/A", (C63-B63)/B63)</f>
        <v/>
      </c>
      <c r="E63" s="3" t="n">
        <v>28</v>
      </c>
      <c r="F63" s="3" t="n">
        <v>21</v>
      </c>
      <c r="G63" s="6">
        <f>IF(E63=0, "N/A", (F63-E63)/E63)</f>
        <v/>
      </c>
      <c r="H63" s="3" t="n">
        <v>14</v>
      </c>
      <c r="I63" s="3" t="n">
        <v>62</v>
      </c>
      <c r="J63" s="6">
        <f>IF(H63=0, "N/A", (I63-H63)/H63)</f>
        <v/>
      </c>
      <c r="K63" s="3">
        <f>B63+E63+H63</f>
        <v/>
      </c>
      <c r="L63" s="3">
        <f>C63+F63+I63</f>
        <v/>
      </c>
      <c r="M63" s="6">
        <f>IF(K63=0, "N/A", (L63-K63)/K63)</f>
        <v/>
      </c>
    </row>
    <row r="64">
      <c r="A64" s="2" t="inlineStr">
        <is>
          <t>Other</t>
        </is>
      </c>
      <c r="B64" s="3" t="n">
        <v>24</v>
      </c>
      <c r="C64" s="3" t="n"/>
      <c r="D64" s="6">
        <f>IF(B64=0, "N/A", (C64-B64)/B64)</f>
        <v/>
      </c>
      <c r="E64" s="3" t="n">
        <v>30</v>
      </c>
      <c r="F64" s="3" t="n">
        <v>3</v>
      </c>
      <c r="G64" s="6">
        <f>IF(E64=0, "N/A", (F64-E64)/E64)</f>
        <v/>
      </c>
      <c r="H64" s="3" t="n">
        <v>2</v>
      </c>
      <c r="I64" s="3" t="n">
        <v>4</v>
      </c>
      <c r="J64" s="6">
        <f>IF(H64=0, "N/A", (I64-H64)/H64)</f>
        <v/>
      </c>
      <c r="K64" s="3">
        <f>B64+E64+H64</f>
        <v/>
      </c>
      <c r="L64" s="3">
        <f>C64+F64+I64</f>
        <v/>
      </c>
      <c r="M64" s="6">
        <f>IF(K64=0, "N/A", (L64-K64)/K64)</f>
        <v/>
      </c>
    </row>
    <row r="65">
      <c r="A65" s="2" t="inlineStr">
        <is>
          <t>Remeras</t>
        </is>
      </c>
      <c r="B65" s="3" t="n">
        <v>1052</v>
      </c>
      <c r="C65" s="3" t="n">
        <v>964</v>
      </c>
      <c r="D65" s="6">
        <f>IF(B65=0, "N/A", (C65-B65)/B65)</f>
        <v/>
      </c>
      <c r="E65" s="3" t="n">
        <v>1621</v>
      </c>
      <c r="F65" s="3" t="n">
        <v>1504</v>
      </c>
      <c r="G65" s="6">
        <f>IF(E65=0, "N/A", (F65-E65)/E65)</f>
        <v/>
      </c>
      <c r="H65" s="3" t="n">
        <v>3975</v>
      </c>
      <c r="I65" s="3" t="n">
        <v>2873</v>
      </c>
      <c r="J65" s="6">
        <f>IF(H65=0, "N/A", (I65-H65)/H65)</f>
        <v/>
      </c>
      <c r="K65" s="3">
        <f>B65+E65+H65</f>
        <v/>
      </c>
      <c r="L65" s="3">
        <f>C65+F65+I65</f>
        <v/>
      </c>
      <c r="M65" s="6">
        <f>IF(K65=0, "N/A", (L65-K65)/K65)</f>
        <v/>
      </c>
    </row>
    <row r="66">
      <c r="A66" s="2" t="inlineStr">
        <is>
          <t>Sweaters</t>
        </is>
      </c>
      <c r="B66" s="3" t="n">
        <v>83</v>
      </c>
      <c r="C66" s="3" t="n">
        <v>112</v>
      </c>
      <c r="D66" s="6">
        <f>IF(B66=0, "N/A", (C66-B66)/B66)</f>
        <v/>
      </c>
      <c r="E66" s="3" t="n">
        <v>173</v>
      </c>
      <c r="F66" s="3" t="n">
        <v>118</v>
      </c>
      <c r="G66" s="6">
        <f>IF(E66=0, "N/A", (F66-E66)/E66)</f>
        <v/>
      </c>
      <c r="H66" s="3" t="n">
        <v>177</v>
      </c>
      <c r="I66" s="3" t="n">
        <v>181</v>
      </c>
      <c r="J66" s="6">
        <f>IF(H66=0, "N/A", (I66-H66)/H66)</f>
        <v/>
      </c>
      <c r="K66" s="3">
        <f>B66+E66+H66</f>
        <v/>
      </c>
      <c r="L66" s="3">
        <f>C66+F66+I66</f>
        <v/>
      </c>
      <c r="M66" s="6">
        <f>IF(K66=0, "N/A", (L66-K66)/K66)</f>
        <v/>
      </c>
    </row>
    <row r="67">
      <c r="A67" s="2" t="inlineStr">
        <is>
          <t>Trajes De Baño</t>
        </is>
      </c>
      <c r="B67" s="3" t="n">
        <v>52</v>
      </c>
      <c r="C67" s="3" t="n">
        <v>38</v>
      </c>
      <c r="D67" s="6">
        <f>IF(B67=0, "N/A", (C67-B67)/B67)</f>
        <v/>
      </c>
      <c r="E67" s="3" t="n">
        <v>60</v>
      </c>
      <c r="F67" s="3" t="n">
        <v>16</v>
      </c>
      <c r="G67" s="6">
        <f>IF(E67=0, "N/A", (F67-E67)/E67)</f>
        <v/>
      </c>
      <c r="H67" s="3" t="n">
        <v>33</v>
      </c>
      <c r="I67" s="3" t="n">
        <v>133</v>
      </c>
      <c r="J67" s="6">
        <f>IF(H67=0, "N/A", (I67-H67)/H67)</f>
        <v/>
      </c>
      <c r="K67" s="3">
        <f>B67+E67+H67</f>
        <v/>
      </c>
      <c r="L67" s="3">
        <f>C67+F67+I67</f>
        <v/>
      </c>
      <c r="M67" s="6">
        <f>IF(K67=0, "N/A", (L67-K67)/K67)</f>
        <v/>
      </c>
    </row>
    <row r="68">
      <c r="A68" s="5" t="inlineStr">
        <is>
          <t>Totals</t>
        </is>
      </c>
      <c r="B68" s="4">
        <f>SUM($B39:$B67)</f>
        <v/>
      </c>
      <c r="C68" s="4">
        <f>SUM($C39:$C67)</f>
        <v/>
      </c>
      <c r="D68" s="7">
        <f>IF(B68=0, "N/A", (C68-B68)/B68)</f>
        <v/>
      </c>
      <c r="E68" s="4">
        <f>SUM($E39:$E67)</f>
        <v/>
      </c>
      <c r="F68" s="4">
        <f>SUM($F39:$F67)</f>
        <v/>
      </c>
      <c r="G68" s="7">
        <f>IF(E68=0, "N/A", (F68-E68)/E68)</f>
        <v/>
      </c>
      <c r="H68" s="4">
        <f>SUM($H39:$H67)</f>
        <v/>
      </c>
      <c r="I68" s="4">
        <f>SUM($I39:$I67)</f>
        <v/>
      </c>
      <c r="J68" s="7">
        <f>IF(H68=0, "N/A", (I68-H68)/H68)</f>
        <v/>
      </c>
      <c r="K68" s="4">
        <f>SUM($K39:$K67)</f>
        <v/>
      </c>
      <c r="L68" s="4">
        <f>SUM($L39:$L67)</f>
        <v/>
      </c>
      <c r="M68" s="7">
        <f>IF(K68=0, "N/A", (L68-K68)/K68)</f>
        <v/>
      </c>
    </row>
    <row r="71">
      <c r="A71" s="1" t="inlineStr">
        <is>
          <t>YoY Comparison - Branch Group 2</t>
        </is>
      </c>
    </row>
    <row r="72">
      <c r="B72" s="1" t="inlineStr">
        <is>
          <t>VIRREYES</t>
        </is>
      </c>
      <c r="C72" s="1" t="n"/>
      <c r="D72" s="1" t="n"/>
    </row>
    <row r="73">
      <c r="A73" s="1" t="inlineStr">
        <is>
          <t>Familias</t>
        </is>
      </c>
      <c r="B73" s="1" t="n">
        <v>2025</v>
      </c>
      <c r="C73" s="1" t="n">
        <v>2026</v>
      </c>
      <c r="D73" s="1" t="inlineStr">
        <is>
          <t>%</t>
        </is>
      </c>
    </row>
    <row r="74">
      <c r="A74" s="2" t="inlineStr">
        <is>
          <t>Accesorios</t>
        </is>
      </c>
      <c r="B74" s="3" t="n">
        <v>32</v>
      </c>
      <c r="C74" s="3" t="n">
        <v>12</v>
      </c>
      <c r="D74" s="6">
        <f>IF(B74=0, "N/A", (C74-B74)/B74)</f>
        <v/>
      </c>
    </row>
    <row r="75">
      <c r="A75" s="2" t="inlineStr">
        <is>
          <t>Bermudas</t>
        </is>
      </c>
      <c r="B75" s="3" t="n">
        <v>12</v>
      </c>
      <c r="C75" s="3" t="n">
        <v>17</v>
      </c>
      <c r="D75" s="6">
        <f>IF(B75=0, "N/A", (C75-B75)/B75)</f>
        <v/>
      </c>
    </row>
    <row r="76">
      <c r="A76" s="2" t="inlineStr">
        <is>
          <t>Boxer</t>
        </is>
      </c>
      <c r="B76" s="3" t="n">
        <v>21</v>
      </c>
      <c r="C76" s="3" t="n">
        <v>20</v>
      </c>
      <c r="D76" s="6">
        <f>IF(B76=0, "N/A", (C76-B76)/B76)</f>
        <v/>
      </c>
    </row>
    <row r="77">
      <c r="A77" s="2" t="inlineStr">
        <is>
          <t>Buzo Cuello Redondo</t>
        </is>
      </c>
      <c r="B77" s="3" t="n">
        <v>67</v>
      </c>
      <c r="C77" s="3" t="n">
        <v>13</v>
      </c>
      <c r="D77" s="6">
        <f>IF(B77=0, "N/A", (C77-B77)/B77)</f>
        <v/>
      </c>
    </row>
    <row r="78">
      <c r="A78" s="2" t="inlineStr">
        <is>
          <t>Buzos C Capucha</t>
        </is>
      </c>
      <c r="B78" s="3" t="n">
        <v>105</v>
      </c>
      <c r="C78" s="3" t="n">
        <v>33</v>
      </c>
      <c r="D78" s="6">
        <f>IF(B78=0, "N/A", (C78-B78)/B78)</f>
        <v/>
      </c>
    </row>
    <row r="79">
      <c r="A79" s="2" t="inlineStr">
        <is>
          <t>Buzos C Capucha Orangutan</t>
        </is>
      </c>
      <c r="B79" s="3" t="n"/>
      <c r="C79" s="3" t="n">
        <v>29</v>
      </c>
      <c r="D79" s="6">
        <f>IF(B79=0, "N/A", (C79-B79)/B79)</f>
        <v/>
      </c>
    </row>
    <row r="80">
      <c r="A80" s="2" t="inlineStr">
        <is>
          <t>Buzos C Redondo Orangutan</t>
        </is>
      </c>
      <c r="B80" s="3" t="n"/>
      <c r="C80" s="3" t="n">
        <v>15</v>
      </c>
      <c r="D80" s="6">
        <f>IF(B80=0, "N/A", (C80-B80)/B80)</f>
        <v/>
      </c>
    </row>
    <row r="81">
      <c r="A81" s="2" t="inlineStr">
        <is>
          <t>Buzos Medio Cierre</t>
        </is>
      </c>
      <c r="B81" s="3" t="n">
        <v>7</v>
      </c>
      <c r="C81" s="3" t="n"/>
      <c r="D81" s="6">
        <f>IF(B81=0, "N/A", (C81-B81)/B81)</f>
        <v/>
      </c>
    </row>
    <row r="82">
      <c r="A82" s="2" t="inlineStr">
        <is>
          <t>Calzado</t>
        </is>
      </c>
      <c r="B82" s="3" t="n">
        <v>15</v>
      </c>
      <c r="C82" s="3" t="n">
        <v>2</v>
      </c>
      <c r="D82" s="6">
        <f>IF(B82=0, "N/A", (C82-B82)/B82)</f>
        <v/>
      </c>
    </row>
    <row r="83">
      <c r="A83" s="2" t="inlineStr">
        <is>
          <t>Camisas</t>
        </is>
      </c>
      <c r="B83" s="3" t="n">
        <v>5</v>
      </c>
      <c r="C83" s="3" t="n"/>
      <c r="D83" s="6">
        <f>IF(B83=0, "N/A", (C83-B83)/B83)</f>
        <v/>
      </c>
    </row>
    <row r="84">
      <c r="A84" s="2" t="inlineStr">
        <is>
          <t>Camisetas Manga Larga</t>
        </is>
      </c>
      <c r="B84" s="3" t="n">
        <v>39</v>
      </c>
      <c r="C84" s="3" t="n"/>
      <c r="D84" s="6">
        <f>IF(B84=0, "N/A", (C84-B84)/B84)</f>
        <v/>
      </c>
    </row>
    <row r="85">
      <c r="A85" s="2" t="inlineStr">
        <is>
          <t>Camisetas Manga Larga Orangutan</t>
        </is>
      </c>
      <c r="B85" s="3" t="n"/>
      <c r="C85" s="3" t="n">
        <v>9</v>
      </c>
      <c r="D85" s="6">
        <f>IF(B85=0, "N/A", (C85-B85)/B85)</f>
        <v/>
      </c>
    </row>
    <row r="86">
      <c r="A86" s="2" t="inlineStr">
        <is>
          <t>Campera S Capucha</t>
        </is>
      </c>
      <c r="B86" s="3" t="n">
        <v>1</v>
      </c>
      <c r="C86" s="3" t="n">
        <v>1</v>
      </c>
      <c r="D86" s="6">
        <f>IF(B86=0, "N/A", (C86-B86)/B86)</f>
        <v/>
      </c>
    </row>
    <row r="87">
      <c r="A87" s="2" t="inlineStr">
        <is>
          <t>Camperas Capucha</t>
        </is>
      </c>
      <c r="B87" s="3" t="n">
        <v>28</v>
      </c>
      <c r="C87" s="3" t="n">
        <v>18</v>
      </c>
      <c r="D87" s="6">
        <f>IF(B87=0, "N/A", (C87-B87)/B87)</f>
        <v/>
      </c>
    </row>
    <row r="88">
      <c r="A88" s="2" t="inlineStr">
        <is>
          <t>Camperas De Abrigo</t>
        </is>
      </c>
      <c r="B88" s="3" t="n">
        <v>28</v>
      </c>
      <c r="C88" s="3" t="n">
        <v>11</v>
      </c>
      <c r="D88" s="6">
        <f>IF(B88=0, "N/A", (C88-B88)/B88)</f>
        <v/>
      </c>
    </row>
    <row r="89">
      <c r="A89" s="2" t="inlineStr">
        <is>
          <t>Chombas</t>
        </is>
      </c>
      <c r="B89" s="3" t="n">
        <v>4</v>
      </c>
      <c r="C89" s="3" t="n">
        <v>5</v>
      </c>
      <c r="D89" s="6">
        <f>IF(B89=0, "N/A", (C89-B89)/B89)</f>
        <v/>
      </c>
    </row>
    <row r="90">
      <c r="A90" s="2" t="inlineStr">
        <is>
          <t>Chombas Manga Larga</t>
        </is>
      </c>
      <c r="B90" s="3" t="n"/>
      <c r="C90" s="3" t="n">
        <v>2</v>
      </c>
      <c r="D90" s="6">
        <f>IF(B90=0, "N/A", (C90-B90)/B90)</f>
        <v/>
      </c>
    </row>
    <row r="91">
      <c r="A91" s="2" t="inlineStr">
        <is>
          <t>Detroit</t>
        </is>
      </c>
      <c r="B91" s="3" t="n"/>
      <c r="C91" s="3" t="n">
        <v>1</v>
      </c>
      <c r="D91" s="6">
        <f>IF(B91=0, "N/A", (C91-B91)/B91)</f>
        <v/>
      </c>
    </row>
    <row r="92">
      <c r="A92" s="2" t="inlineStr">
        <is>
          <t>Jeans</t>
        </is>
      </c>
      <c r="B92" s="3" t="n">
        <v>69</v>
      </c>
      <c r="C92" s="3" t="n">
        <v>80</v>
      </c>
      <c r="D92" s="6">
        <f>IF(B92=0, "N/A", (C92-B92)/B92)</f>
        <v/>
      </c>
    </row>
    <row r="93">
      <c r="A93" s="2" t="inlineStr">
        <is>
          <t>Jogging</t>
        </is>
      </c>
      <c r="B93" s="3" t="n">
        <v>33</v>
      </c>
      <c r="C93" s="3" t="n">
        <v>24</v>
      </c>
      <c r="D93" s="6">
        <f>IF(B93=0, "N/A", (C93-B93)/B93)</f>
        <v/>
      </c>
    </row>
    <row r="94">
      <c r="A94" s="2" t="inlineStr">
        <is>
          <t>Jogging Corto</t>
        </is>
      </c>
      <c r="B94" s="3" t="n">
        <v>5</v>
      </c>
      <c r="C94" s="3" t="n">
        <v>4</v>
      </c>
      <c r="D94" s="6">
        <f>IF(B94=0, "N/A", (C94-B94)/B94)</f>
        <v/>
      </c>
    </row>
    <row r="95">
      <c r="A95" s="2" t="inlineStr">
        <is>
          <t>Musculosas</t>
        </is>
      </c>
      <c r="B95" s="3" t="n">
        <v>9</v>
      </c>
      <c r="C95" s="3" t="n">
        <v>4</v>
      </c>
      <c r="D95" s="6">
        <f>IF(B95=0, "N/A", (C95-B95)/B95)</f>
        <v/>
      </c>
    </row>
    <row r="96">
      <c r="A96" s="2" t="inlineStr">
        <is>
          <t>Other</t>
        </is>
      </c>
      <c r="B96" s="3" t="n">
        <v>9</v>
      </c>
      <c r="C96" s="3" t="n">
        <v>2</v>
      </c>
      <c r="D96" s="6">
        <f>IF(B96=0, "N/A", (C96-B96)/B96)</f>
        <v/>
      </c>
    </row>
    <row r="97">
      <c r="A97" s="2" t="inlineStr">
        <is>
          <t>Remeras</t>
        </is>
      </c>
      <c r="B97" s="3" t="n">
        <v>321</v>
      </c>
      <c r="C97" s="3" t="n">
        <v>195</v>
      </c>
      <c r="D97" s="6">
        <f>IF(B97=0, "N/A", (C97-B97)/B97)</f>
        <v/>
      </c>
    </row>
    <row r="98">
      <c r="A98" s="2" t="inlineStr">
        <is>
          <t>Sweaters</t>
        </is>
      </c>
      <c r="B98" s="3" t="n">
        <v>15</v>
      </c>
      <c r="C98" s="3" t="n">
        <v>3</v>
      </c>
      <c r="D98" s="6">
        <f>IF(B98=0, "N/A", (C98-B98)/B98)</f>
        <v/>
      </c>
    </row>
    <row r="99">
      <c r="A99" s="2" t="inlineStr">
        <is>
          <t>Trajes De Baño</t>
        </is>
      </c>
      <c r="B99" s="3" t="n">
        <v>9</v>
      </c>
      <c r="C99" s="3" t="n">
        <v>12</v>
      </c>
      <c r="D99" s="6">
        <f>IF(B99=0, "N/A", (C99-B99)/B99)</f>
        <v/>
      </c>
    </row>
    <row r="100">
      <c r="A100" s="5" t="inlineStr">
        <is>
          <t>Totals</t>
        </is>
      </c>
      <c r="B100" s="4">
        <f>SUM($B74:$B99)</f>
        <v/>
      </c>
      <c r="C100" s="4">
        <f>SUM($C74:$C99)</f>
        <v/>
      </c>
      <c r="D100" s="7">
        <f>IF(B100=0, "N/A", (C100-B100)/B100)</f>
        <v/>
      </c>
    </row>
  </sheetData>
  <mergeCells count="8">
    <mergeCell ref="A36:M36"/>
    <mergeCell ref="B72:C72"/>
    <mergeCell ref="B37:C37"/>
    <mergeCell ref="A1:F1"/>
    <mergeCell ref="E37:F37"/>
    <mergeCell ref="K37:L37"/>
    <mergeCell ref="H37:I37"/>
    <mergeCell ref="A71:D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2026-09-24T16:51:32Z</dcterms:created>
  <dcterms:modified xmlns:dcterms="http://purl.org/dc/terms/" xmlns:xsi="http://www.w3.org/2001/XMLSchema-instance" xsi:type="dcterms:W3CDTF">2026-09-24T16:51:33Z</dcterms:modified>
</cp:coreProperties>
</file>